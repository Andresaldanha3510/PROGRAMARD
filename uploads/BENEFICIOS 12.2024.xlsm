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financeiro01\Desktop\"/>
    </mc:Choice>
  </mc:AlternateContent>
  <xr:revisionPtr revIDLastSave="0" documentId="13_ncr:1_{67983997-3B1A-45CF-840F-E460FDF5FAF2}" xr6:coauthVersionLast="47" xr6:coauthVersionMax="47" xr10:uidLastSave="{00000000-0000-0000-0000-000000000000}"/>
  <bookViews>
    <workbookView xWindow="-120" yWindow="-120" windowWidth="20730" windowHeight="11160" activeTab="1" xr2:uid="{75C50868-EA26-415D-B783-3696F995B7C7}"/>
  </bookViews>
  <sheets>
    <sheet name="Planilha1" sheetId="1" r:id="rId1"/>
    <sheet name="Planilha2" sheetId="3" r:id="rId2"/>
  </sheets>
  <definedNames>
    <definedName name="_xlnm._FilterDatabase" localSheetId="1" hidden="1">Planilha2!$A$1:$AT$65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5" i="3" l="1"/>
  <c r="I64" i="3"/>
  <c r="I63" i="3"/>
  <c r="I62" i="3"/>
  <c r="I61" i="3"/>
  <c r="I60" i="3"/>
  <c r="I59" i="3"/>
  <c r="I58" i="3"/>
  <c r="I57" i="3"/>
  <c r="I56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I3" i="3"/>
  <c r="G4" i="3"/>
  <c r="F65" i="3"/>
  <c r="F64" i="3"/>
  <c r="F63" i="3"/>
  <c r="F62" i="3"/>
  <c r="F61" i="3"/>
  <c r="F60" i="3"/>
  <c r="F59" i="3"/>
  <c r="F58" i="3"/>
  <c r="F57" i="3"/>
  <c r="F56" i="3"/>
  <c r="F55" i="3"/>
  <c r="F54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4" i="3"/>
  <c r="F3" i="3"/>
  <c r="E3" i="3"/>
  <c r="G3" i="3" s="1"/>
  <c r="E4" i="3"/>
  <c r="E5" i="3"/>
  <c r="G5" i="3" s="1"/>
  <c r="E6" i="3"/>
  <c r="G6" i="3" s="1"/>
  <c r="E7" i="3"/>
  <c r="G7" i="3" s="1"/>
  <c r="E8" i="3"/>
  <c r="G8" i="3" s="1"/>
  <c r="E9" i="3"/>
  <c r="G9" i="3" s="1"/>
  <c r="E10" i="3"/>
  <c r="G10" i="3" s="1"/>
  <c r="E11" i="3"/>
  <c r="G11" i="3" s="1"/>
  <c r="E12" i="3"/>
  <c r="G12" i="3" s="1"/>
  <c r="E13" i="3"/>
  <c r="G13" i="3" s="1"/>
  <c r="E14" i="3"/>
  <c r="G14" i="3" s="1"/>
  <c r="E15" i="3"/>
  <c r="G15" i="3" s="1"/>
  <c r="E16" i="3"/>
  <c r="G16" i="3" s="1"/>
  <c r="E17" i="3"/>
  <c r="G17" i="3" s="1"/>
  <c r="E18" i="3"/>
  <c r="G18" i="3" s="1"/>
  <c r="E19" i="3"/>
  <c r="G19" i="3" s="1"/>
  <c r="E20" i="3"/>
  <c r="G20" i="3" s="1"/>
  <c r="E21" i="3"/>
  <c r="G21" i="3" s="1"/>
  <c r="E22" i="3"/>
  <c r="G22" i="3" s="1"/>
  <c r="E23" i="3"/>
  <c r="G23" i="3" s="1"/>
  <c r="E24" i="3"/>
  <c r="G24" i="3" s="1"/>
  <c r="E25" i="3"/>
  <c r="G25" i="3" s="1"/>
  <c r="E26" i="3"/>
  <c r="G26" i="3" s="1"/>
  <c r="E27" i="3"/>
  <c r="G27" i="3" s="1"/>
  <c r="E28" i="3"/>
  <c r="G28" i="3" s="1"/>
  <c r="E29" i="3"/>
  <c r="G29" i="3" s="1"/>
  <c r="E30" i="3"/>
  <c r="G30" i="3" s="1"/>
  <c r="E31" i="3"/>
  <c r="G31" i="3" s="1"/>
  <c r="E32" i="3"/>
  <c r="G32" i="3" s="1"/>
  <c r="E33" i="3"/>
  <c r="G33" i="3" s="1"/>
  <c r="E34" i="3"/>
  <c r="G34" i="3" s="1"/>
  <c r="E35" i="3"/>
  <c r="G35" i="3" s="1"/>
  <c r="E36" i="3"/>
  <c r="G36" i="3" s="1"/>
  <c r="E37" i="3"/>
  <c r="G37" i="3" s="1"/>
  <c r="E38" i="3"/>
  <c r="G38" i="3" s="1"/>
  <c r="E39" i="3"/>
  <c r="G39" i="3" s="1"/>
  <c r="E40" i="3"/>
  <c r="G40" i="3" s="1"/>
  <c r="E41" i="3"/>
  <c r="G41" i="3" s="1"/>
  <c r="E42" i="3"/>
  <c r="G42" i="3" s="1"/>
  <c r="E43" i="3"/>
  <c r="G43" i="3" s="1"/>
  <c r="E44" i="3"/>
  <c r="G44" i="3" s="1"/>
  <c r="E45" i="3"/>
  <c r="G45" i="3" s="1"/>
  <c r="E46" i="3"/>
  <c r="G46" i="3" s="1"/>
  <c r="E47" i="3"/>
  <c r="G47" i="3" s="1"/>
  <c r="E48" i="3"/>
  <c r="G48" i="3" s="1"/>
  <c r="E49" i="3"/>
  <c r="G49" i="3" s="1"/>
  <c r="E50" i="3"/>
  <c r="G50" i="3" s="1"/>
  <c r="E51" i="3"/>
  <c r="G51" i="3" s="1"/>
  <c r="E52" i="3"/>
  <c r="G52" i="3" s="1"/>
  <c r="E53" i="3"/>
  <c r="G53" i="3" s="1"/>
  <c r="E54" i="3"/>
  <c r="G54" i="3" s="1"/>
  <c r="E55" i="3"/>
  <c r="G55" i="3" s="1"/>
  <c r="E56" i="3"/>
  <c r="G56" i="3" s="1"/>
  <c r="E57" i="3"/>
  <c r="G57" i="3" s="1"/>
  <c r="E58" i="3"/>
  <c r="G58" i="3" s="1"/>
  <c r="E59" i="3"/>
  <c r="G59" i="3" s="1"/>
  <c r="E60" i="3"/>
  <c r="G60" i="3" s="1"/>
  <c r="E61" i="3"/>
  <c r="G61" i="3" s="1"/>
  <c r="E62" i="3"/>
  <c r="G62" i="3" s="1"/>
  <c r="E63" i="3"/>
  <c r="G63" i="3" s="1"/>
  <c r="E64" i="3"/>
  <c r="G64" i="3" s="1"/>
  <c r="E65" i="3"/>
  <c r="G65" i="3" s="1"/>
  <c r="E2" i="3"/>
  <c r="G2" i="3" s="1"/>
  <c r="B57" i="3"/>
  <c r="B58" i="3"/>
  <c r="B59" i="3"/>
  <c r="B60" i="3"/>
  <c r="B61" i="3"/>
  <c r="B62" i="3"/>
  <c r="B63" i="3"/>
  <c r="B64" i="3"/>
  <c r="B65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I2" i="3"/>
  <c r="F2" i="3"/>
  <c r="B2" i="3"/>
  <c r="L88" i="1"/>
  <c r="N88" i="1" s="1"/>
  <c r="M88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S88" i="1"/>
  <c r="R88" i="1"/>
  <c r="N28" i="1" l="1"/>
  <c r="H28" i="1"/>
  <c r="H88" i="1"/>
  <c r="L89" i="1" s="1"/>
  <c r="T88" i="1"/>
  <c r="L28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P32" authorId="0" shapeId="0" xr:uid="{E25FE8AB-3198-4B35-A2FF-A960B90BAF4B}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Adrian trabalha na escala de 6 x 1 (contar sábado como dia útil)
</t>
        </r>
      </text>
    </comment>
  </commentList>
</comments>
</file>

<file path=xl/sharedStrings.xml><?xml version="1.0" encoding="utf-8"?>
<sst xmlns="http://schemas.openxmlformats.org/spreadsheetml/2006/main" count="1213" uniqueCount="185">
  <si>
    <t>FUNCIONÁRIO</t>
  </si>
  <si>
    <t>CENTRO CUSTO</t>
  </si>
  <si>
    <t>DIAS ÚTEIS</t>
  </si>
  <si>
    <t>QTD</t>
  </si>
  <si>
    <t>VT</t>
  </si>
  <si>
    <t>VC</t>
  </si>
  <si>
    <t>VA</t>
  </si>
  <si>
    <t>VR</t>
  </si>
  <si>
    <t>OBSERVAÇÕES DE FÉRIAS</t>
  </si>
  <si>
    <t>BATISTA JERONIMO</t>
  </si>
  <si>
    <t>Descontar  06 VRs (Férias 19/12 a 31/12)</t>
  </si>
  <si>
    <t>BRENYS JOSE HERNANDEZ PEYRAU</t>
  </si>
  <si>
    <t>CARLOS HENRIQUE BATISTA</t>
  </si>
  <si>
    <t>DANIELA ALVES SOUZA</t>
  </si>
  <si>
    <t>52200-</t>
  </si>
  <si>
    <t>DOUGLAS HENRIQUE BARBOSA VIEIRA</t>
  </si>
  <si>
    <t>FABRICIO VIEIRA</t>
  </si>
  <si>
    <t>GUILHERME VIEIRA BRESSAN</t>
  </si>
  <si>
    <t>JILLYSON HELLIBERG MEDEIROS SOARES</t>
  </si>
  <si>
    <t>Descontar 02 VRs (Folga Eleição 21/11 e 22/11)</t>
  </si>
  <si>
    <t>JOÃO LUIZ TURRA ANGELOTTI</t>
  </si>
  <si>
    <t>Descontar 01 VR (Day Off 22/11)</t>
  </si>
  <si>
    <t>JOSIANE APARECIDA DE FARIA</t>
  </si>
  <si>
    <t>51113</t>
  </si>
  <si>
    <t>Descontar 03 VRs (Férias 26/12 a 31/12)</t>
  </si>
  <si>
    <t>JULIETA MARIA DA SILVA GUIMARÃES</t>
  </si>
  <si>
    <t>KENDRICK JOSE NARANJO ROMERO</t>
  </si>
  <si>
    <t>LARISSA ELOISE TOPOLSKI</t>
  </si>
  <si>
    <t>LILTON LOPES PINHEIRO DA SILVA</t>
  </si>
  <si>
    <t>LUIZ CARLOS SIQUEIRA ANGELOTTI</t>
  </si>
  <si>
    <t>LUIZ GERALDO LAURENTINO DIAS</t>
  </si>
  <si>
    <t>MAX ANTOANE DA CRUZ</t>
  </si>
  <si>
    <t>NAYARA CAROLINE DE SOUZA</t>
  </si>
  <si>
    <t>NILTON RAEL DA SILVA</t>
  </si>
  <si>
    <t>ODAIR SILVESTRE DOMINGUES JUNIOR</t>
  </si>
  <si>
    <t>Descontar 08 VRs (Day Off 22/11 + Férias 16/12 a 21/12)</t>
  </si>
  <si>
    <t>RENATO ANQUIZES NAGILDO</t>
  </si>
  <si>
    <t>SERGIO AMADEU DA LUZ</t>
  </si>
  <si>
    <t>Descontar 01 VR (Atestado 23/10)</t>
  </si>
  <si>
    <t>SILAS DA COSTA LOPES</t>
  </si>
  <si>
    <t>WILLYAN ALVES DA SILVA</t>
  </si>
  <si>
    <t>Descontar 09 VRs (Férias 16/12 a 30/12)</t>
  </si>
  <si>
    <t>TOTAL</t>
  </si>
  <si>
    <t>ADRIAN FELIPE GONZALEZ HERNANDES</t>
  </si>
  <si>
    <t>AGHATA CRISTINA GOIS</t>
  </si>
  <si>
    <t>AILTON BALBINO NETO</t>
  </si>
  <si>
    <t>ANDERSON CAMPIOL PAZ</t>
  </si>
  <si>
    <t>ANDERSON LINCOLN PONTES</t>
  </si>
  <si>
    <t>ANDRE ROBERTO SALDANHA FERREIRA</t>
  </si>
  <si>
    <t>ANDRÉIA FARIA DE SOUZA</t>
  </si>
  <si>
    <t>ANDRIELE DE ANDRADE PASETTI</t>
  </si>
  <si>
    <t>CAROLINE KOVALSKI FIGUEIREDO</t>
  </si>
  <si>
    <t>CLAUDINEI RIBEIRO</t>
  </si>
  <si>
    <t>DANIEL RICHARD DA SILVA</t>
  </si>
  <si>
    <t>DEBORAH BELLY ALVES DA SILVA</t>
  </si>
  <si>
    <t>EDUARDO HENRIQUE FERREIRA</t>
  </si>
  <si>
    <t>Descontar 01 VR (Falta 21/10)</t>
  </si>
  <si>
    <t>EMILY FERNANDA DO NASCIMENTO</t>
  </si>
  <si>
    <t>FABIANO SANTOS DA SILVA</t>
  </si>
  <si>
    <t>Descontar 02 VRs (Atestado 30/10 e 31/10)</t>
  </si>
  <si>
    <t>FABRICIO MAIA PEDRO</t>
  </si>
  <si>
    <t>FERNANDO AUGUSTO MARCELINO</t>
  </si>
  <si>
    <t>FERNANDO BELIZOTTI PEDROSO</t>
  </si>
  <si>
    <t>FERNANDO GASPARI LIMA</t>
  </si>
  <si>
    <t>Descontar 01 VR (Banco Horas 07/11)</t>
  </si>
  <si>
    <t>FLAVIO LEOVIDIO ALVES DOS SANTOS</t>
  </si>
  <si>
    <t>GABRIEL MARQUES DE SOUZA</t>
  </si>
  <si>
    <t>Descontar 01 VR (Atestado 29/10)</t>
  </si>
  <si>
    <t>GUILHERME MACHADO DOS SANTOS</t>
  </si>
  <si>
    <t>HELMITON SEBASTIÃO DA SILVA JUNIOR</t>
  </si>
  <si>
    <t>HELOISE DE MORAES</t>
  </si>
  <si>
    <t>IGOR RIBEIRO PRIETO</t>
  </si>
  <si>
    <t>JHONATAN FRANCISCO DA SILVA AGUIAR</t>
  </si>
  <si>
    <t>JOÃO LENO RICARDO DE SIQUEIRA</t>
  </si>
  <si>
    <t>JOSE LUCAS PARREIRA</t>
  </si>
  <si>
    <t>JOSE RAFAEL DE BRITO</t>
  </si>
  <si>
    <t>KAUÃ PRANSTETE DE OLIVEIRA</t>
  </si>
  <si>
    <t>LEONARDO FRANCO DE SOUZA</t>
  </si>
  <si>
    <t>LUCAS AGNELLI MOREIRA</t>
  </si>
  <si>
    <t>LUIS DIEGO DENOFRI</t>
  </si>
  <si>
    <t>LUIZ PAULO VIEGAS</t>
  </si>
  <si>
    <t>MARINA ZANUTTI</t>
  </si>
  <si>
    <t>Descontar 06 VRs (Férias 19/12 a 31/12)</t>
  </si>
  <si>
    <t>MARJORY ANDRADE OKOINSKI</t>
  </si>
  <si>
    <t xml:space="preserve">Descontar 22 VRs (Férias 21/11 a 20/12) e Pagar 02 VRs (Trabalhou dia 18/11 e 19/11) </t>
  </si>
  <si>
    <t>MATHEUS BARBIERI MACEDO CATUTA</t>
  </si>
  <si>
    <t>MATHEUS CARDOSO KONOPKA</t>
  </si>
  <si>
    <t>MATHEUS CARIAS TEZOLIN</t>
  </si>
  <si>
    <t>MATHEUS THIAGO KOTARSKI</t>
  </si>
  <si>
    <t xml:space="preserve">MITCHELI CASTILHO </t>
  </si>
  <si>
    <t>Descontar 10 VRS (Banco Horas 19/11 + Férias 16/12 a 31/12)</t>
  </si>
  <si>
    <t>MURILLO JANUARIO DA SILVA</t>
  </si>
  <si>
    <t>MURILO HENRIQUE BARTELI DOS SANTOS</t>
  </si>
  <si>
    <t>PEDRO AUGUSTO DOS SANTOS</t>
  </si>
  <si>
    <t>Descontar 05 VRs (Férias 16/12 a 22/12)</t>
  </si>
  <si>
    <t>RAFAEL ALVES DE MENEZES</t>
  </si>
  <si>
    <t>RAFAEL CRISTIANO REICHEL</t>
  </si>
  <si>
    <t>Descontar 13 VRs (Férias 11/11 a 30/11)</t>
  </si>
  <si>
    <t>RAFAELLA CRISTINA MUNIZ</t>
  </si>
  <si>
    <t>RICARDO VIEIRA</t>
  </si>
  <si>
    <t>RODRIGO RIBEIRO TONI</t>
  </si>
  <si>
    <t>RONAN ALVES DOS SANTOS</t>
  </si>
  <si>
    <t>51103</t>
  </si>
  <si>
    <t>Descontar 01 VR (Banco Horas 18/11)</t>
  </si>
  <si>
    <t>RONEY ARAUJO BRANDÃO</t>
  </si>
  <si>
    <t>TATIANE APARECIDA R. R. RODRIGUES PINTO</t>
  </si>
  <si>
    <t>THALES DO NASCIMENTO CARDOSO</t>
  </si>
  <si>
    <t>VANDERLEI NUNES MOREIRA</t>
  </si>
  <si>
    <t>WAGNER MEIRA QUEIROZ</t>
  </si>
  <si>
    <t>WESLEY NAIRON DE OLIVEIRA</t>
  </si>
  <si>
    <t>Pagar 02 VRs (Trabalhou dia 15/11 - 23/11)</t>
  </si>
  <si>
    <t>INFORMAÇÕES COLETADAS ATÉ DIA:</t>
  </si>
  <si>
    <t>DATA DA COMPRA</t>
  </si>
  <si>
    <t>DATA PAGAMENTO</t>
  </si>
  <si>
    <t>Descontar 05 VRs (Atestado 04/11 a 08/11) - PERDEU 100% VA</t>
  </si>
  <si>
    <t>Descontar 02 VRs (Licença Casamento 08/11 + Atestado 21/11) - PERDEU 100% VA</t>
  </si>
  <si>
    <t>Nº do item</t>
  </si>
  <si>
    <t>Descrição do item</t>
  </si>
  <si>
    <t>Quantidade</t>
  </si>
  <si>
    <t>Preço unitário</t>
  </si>
  <si>
    <t>Total (MC)</t>
  </si>
  <si>
    <t>% do desconto</t>
  </si>
  <si>
    <t>Preço após desconto</t>
  </si>
  <si>
    <t>Código de imposto</t>
  </si>
  <si>
    <t>Valor do imposto (MC)</t>
  </si>
  <si>
    <t>Depósito</t>
  </si>
  <si>
    <t>Conta do Razão</t>
  </si>
  <si>
    <t>CENTRO DE CUSTO</t>
  </si>
  <si>
    <t>UNIDADE DE NEGÓCIOS</t>
  </si>
  <si>
    <t>PRODUTO</t>
  </si>
  <si>
    <t>Sujeito a IRF</t>
  </si>
  <si>
    <t>Valor de imposto retido</t>
  </si>
  <si>
    <t>CFOP</t>
  </si>
  <si>
    <t>CST para ICMS</t>
  </si>
  <si>
    <t>Utilização</t>
  </si>
  <si>
    <t>CST para IPI</t>
  </si>
  <si>
    <t>CST para PIS</t>
  </si>
  <si>
    <t>CST para COFINS</t>
  </si>
  <si>
    <t>Alocação de posição no depósito</t>
  </si>
  <si>
    <t>Filial</t>
  </si>
  <si>
    <t>Cód.Benefício Fiscal</t>
  </si>
  <si>
    <t>Número do Pedido de Compra</t>
  </si>
  <si>
    <t>Item Ped. de Compra</t>
  </si>
  <si>
    <t>It. Ped.</t>
  </si>
  <si>
    <t>Total Tributos</t>
  </si>
  <si>
    <t>N.º RECOPI</t>
  </si>
  <si>
    <t>Código CEST</t>
  </si>
  <si>
    <t>Código de benefício fiscal de UF</t>
  </si>
  <si>
    <t>Códi. do Benef. Fiscal de Créd. Presumido</t>
  </si>
  <si>
    <t>% do Créd. Presumido</t>
  </si>
  <si>
    <t>Valor do Créd.  Presumido</t>
  </si>
  <si>
    <t>DD01030</t>
  </si>
  <si>
    <t>VALE ALIMENTAÇÃO</t>
  </si>
  <si>
    <t>1933-005</t>
  </si>
  <si>
    <t>DT04</t>
  </si>
  <si>
    <t>1 PEÇAS</t>
  </si>
  <si>
    <t>Não</t>
  </si>
  <si>
    <t>TECSUL EQUIPAMENTOS E SERVICOS - MATRIZ</t>
  </si>
  <si>
    <t>4.01.02.002.008</t>
  </si>
  <si>
    <t>2 SERV</t>
  </si>
  <si>
    <t>4.01.03.001.008</t>
  </si>
  <si>
    <t>CODIGO</t>
  </si>
  <si>
    <t>UNIDADE</t>
  </si>
  <si>
    <t>Coluna1</t>
  </si>
  <si>
    <t>VA2</t>
  </si>
  <si>
    <t>VR3</t>
  </si>
  <si>
    <t>TOTAL VR/VA</t>
  </si>
  <si>
    <t>RAZÃO2</t>
  </si>
  <si>
    <t>TOTAL VR/VA6</t>
  </si>
  <si>
    <t>UNIDADE2</t>
  </si>
  <si>
    <t>VALE ALIMETAÇÃO/REFEIÇÃO</t>
  </si>
  <si>
    <t>CODIGO2</t>
  </si>
  <si>
    <t>4.01.02.002.019</t>
  </si>
  <si>
    <t>5.01.01.001.007</t>
  </si>
  <si>
    <t>4.01.03.001.021</t>
  </si>
  <si>
    <t>VALE TRANSPORTE/VALE COMBUSTíVEL</t>
  </si>
  <si>
    <t xml:space="preserve">TOTAL NF </t>
  </si>
  <si>
    <t xml:space="preserve">VA1 </t>
  </si>
  <si>
    <t>VALE TRANSPORTE</t>
  </si>
  <si>
    <t>DD00124</t>
  </si>
  <si>
    <t>0100</t>
  </si>
  <si>
    <t>0500</t>
  </si>
  <si>
    <t>0400</t>
  </si>
  <si>
    <t>5.01.01.001.006</t>
  </si>
  <si>
    <t xml:space="preserve">CONTROLE DE BENEFÍCIOS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</si>
</sst>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&quot;R$&quot;\ #,##0.00"/>
    <numFmt numFmtId="165" formatCode="_-&quot;R$&quot;* #,##0.00_-;\-&quot;R$&quot;* #,##0.00_-;_-&quot;R$&quot;* &quot;-&quot;??_-;_-@_-"/>
  </numFmts>
  <fonts count="1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11"/>
      <color rgb="FFFF0000"/>
      <name val="Calibri"/>
      <family val="2"/>
    </font>
    <font>
      <sz val="11"/>
      <color rgb="FFFF3300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4F88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theme="6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42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0" borderId="1" applyNumberFormat="0" applyFill="0" applyAlignment="0" applyProtection="0"/>
    <xf numFmtId="44" fontId="12" fillId="0" borderId="0" applyFont="0" applyFill="0" applyBorder="0" applyAlignment="0" applyProtection="0"/>
  </cellStyleXfs>
  <cellXfs count="221">
    <xf numFmtId="0" fontId="0" fillId="0" borderId="0" xfId="0"/>
    <xf numFmtId="0" fontId="2" fillId="0" borderId="2" xfId="1" applyFont="1" applyFill="1" applyBorder="1" applyAlignment="1">
      <alignment horizontal="center" vertical="top"/>
    </xf>
    <xf numFmtId="164" fontId="2" fillId="0" borderId="2" xfId="1" applyNumberFormat="1" applyFont="1" applyFill="1" applyBorder="1" applyAlignment="1">
      <alignment horizontal="center" vertical="top"/>
    </xf>
    <xf numFmtId="0" fontId="5" fillId="0" borderId="2" xfId="1" applyFont="1" applyFill="1" applyBorder="1" applyAlignment="1">
      <alignment horizontal="center" vertical="top"/>
    </xf>
    <xf numFmtId="164" fontId="5" fillId="0" borderId="2" xfId="1" applyNumberFormat="1" applyFont="1" applyFill="1" applyBorder="1" applyAlignment="1">
      <alignment horizontal="center" vertical="top"/>
    </xf>
    <xf numFmtId="0" fontId="8" fillId="0" borderId="2" xfId="1" applyFont="1" applyFill="1" applyBorder="1" applyAlignment="1">
      <alignment horizontal="center" vertical="top"/>
    </xf>
    <xf numFmtId="164" fontId="8" fillId="0" borderId="2" xfId="1" applyNumberFormat="1" applyFont="1" applyFill="1" applyBorder="1" applyAlignment="1">
      <alignment horizontal="center" vertical="top"/>
    </xf>
    <xf numFmtId="0" fontId="5" fillId="0" borderId="2" xfId="1" applyFont="1" applyFill="1" applyBorder="1" applyAlignment="1">
      <alignment horizontal="center"/>
    </xf>
    <xf numFmtId="165" fontId="5" fillId="0" borderId="2" xfId="1" applyNumberFormat="1" applyFont="1" applyFill="1" applyBorder="1" applyAlignment="1">
      <alignment horizontal="center"/>
    </xf>
    <xf numFmtId="164" fontId="5" fillId="0" borderId="2" xfId="1" applyNumberFormat="1" applyFont="1" applyFill="1" applyBorder="1" applyAlignment="1">
      <alignment horizontal="center"/>
    </xf>
    <xf numFmtId="0" fontId="2" fillId="0" borderId="2" xfId="1" applyFont="1" applyFill="1" applyBorder="1" applyAlignment="1">
      <alignment horizontal="center"/>
    </xf>
    <xf numFmtId="165" fontId="2" fillId="0" borderId="2" xfId="1" applyNumberFormat="1" applyFont="1" applyFill="1" applyBorder="1" applyAlignment="1">
      <alignment horizontal="center"/>
    </xf>
    <xf numFmtId="164" fontId="2" fillId="0" borderId="2" xfId="1" applyNumberFormat="1" applyFont="1" applyFill="1" applyBorder="1" applyAlignment="1">
      <alignment horizontal="center"/>
    </xf>
    <xf numFmtId="0" fontId="8" fillId="0" borderId="2" xfId="1" applyFont="1" applyFill="1" applyBorder="1" applyAlignment="1">
      <alignment horizontal="center"/>
    </xf>
    <xf numFmtId="165" fontId="8" fillId="0" borderId="2" xfId="1" applyNumberFormat="1" applyFont="1" applyFill="1" applyBorder="1" applyAlignment="1">
      <alignment horizontal="center"/>
    </xf>
    <xf numFmtId="164" fontId="8" fillId="0" borderId="2" xfId="1" applyNumberFormat="1" applyFont="1" applyFill="1" applyBorder="1" applyAlignment="1">
      <alignment horizontal="center"/>
    </xf>
    <xf numFmtId="0" fontId="5" fillId="3" borderId="2" xfId="1" applyFont="1" applyFill="1" applyBorder="1" applyAlignment="1">
      <alignment horizontal="center"/>
    </xf>
    <xf numFmtId="165" fontId="5" fillId="3" borderId="2" xfId="1" applyNumberFormat="1" applyFont="1" applyFill="1" applyBorder="1" applyAlignment="1">
      <alignment horizontal="center"/>
    </xf>
    <xf numFmtId="164" fontId="5" fillId="3" borderId="2" xfId="1" applyNumberFormat="1" applyFont="1" applyFill="1" applyBorder="1" applyAlignment="1">
      <alignment horizontal="center"/>
    </xf>
    <xf numFmtId="0" fontId="1" fillId="4" borderId="6" xfId="1" applyFont="1" applyFill="1" applyBorder="1" applyAlignment="1">
      <alignment horizontal="center"/>
    </xf>
    <xf numFmtId="14" fontId="4" fillId="4" borderId="6" xfId="0" applyNumberFormat="1" applyFont="1" applyFill="1" applyBorder="1" applyAlignment="1">
      <alignment horizontal="center"/>
    </xf>
    <xf numFmtId="8" fontId="0" fillId="0" borderId="0" xfId="0" applyNumberFormat="1"/>
    <xf numFmtId="0" fontId="1" fillId="4" borderId="0" xfId="1" applyFont="1" applyFill="1" applyBorder="1" applyAlignment="1">
      <alignment horizontal="center"/>
    </xf>
    <xf numFmtId="14" fontId="4" fillId="4" borderId="0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2" fillId="5" borderId="2" xfId="1" applyNumberFormat="1" applyFont="1" applyFill="1" applyBorder="1" applyAlignment="1">
      <alignment horizontal="center" vertical="top"/>
    </xf>
    <xf numFmtId="164" fontId="5" fillId="5" borderId="2" xfId="1" applyNumberFormat="1" applyFont="1" applyFill="1" applyBorder="1" applyAlignment="1">
      <alignment horizontal="center" vertical="top"/>
    </xf>
    <xf numFmtId="164" fontId="8" fillId="5" borderId="2" xfId="1" applyNumberFormat="1" applyFont="1" applyFill="1" applyBorder="1" applyAlignment="1">
      <alignment horizontal="center" vertical="top"/>
    </xf>
    <xf numFmtId="0" fontId="2" fillId="6" borderId="2" xfId="1" applyFont="1" applyFill="1" applyBorder="1" applyAlignment="1">
      <alignment horizontal="center" vertical="top"/>
    </xf>
    <xf numFmtId="164" fontId="2" fillId="6" borderId="2" xfId="1" applyNumberFormat="1" applyFont="1" applyFill="1" applyBorder="1" applyAlignment="1">
      <alignment horizontal="center" vertical="top"/>
    </xf>
    <xf numFmtId="0" fontId="5" fillId="6" borderId="2" xfId="1" applyFont="1" applyFill="1" applyBorder="1" applyAlignment="1">
      <alignment horizontal="center" vertical="top"/>
    </xf>
    <xf numFmtId="164" fontId="5" fillId="6" borderId="2" xfId="1" applyNumberFormat="1" applyFont="1" applyFill="1" applyBorder="1" applyAlignment="1">
      <alignment horizontal="center" vertical="top"/>
    </xf>
    <xf numFmtId="0" fontId="6" fillId="6" borderId="2" xfId="0" applyFont="1" applyFill="1" applyBorder="1" applyAlignment="1">
      <alignment horizontal="center" vertical="top"/>
    </xf>
    <xf numFmtId="0" fontId="7" fillId="6" borderId="2" xfId="0" applyFont="1" applyFill="1" applyBorder="1" applyAlignment="1">
      <alignment horizontal="center" vertical="top"/>
    </xf>
    <xf numFmtId="0" fontId="5" fillId="6" borderId="2" xfId="0" applyFont="1" applyFill="1" applyBorder="1" applyAlignment="1">
      <alignment horizontal="center" vertical="top"/>
    </xf>
    <xf numFmtId="0" fontId="8" fillId="6" borderId="2" xfId="1" applyFont="1" applyFill="1" applyBorder="1" applyAlignment="1">
      <alignment horizontal="center" vertical="top"/>
    </xf>
    <xf numFmtId="164" fontId="8" fillId="6" borderId="2" xfId="1" applyNumberFormat="1" applyFont="1" applyFill="1" applyBorder="1" applyAlignment="1">
      <alignment horizontal="center" vertical="top"/>
    </xf>
    <xf numFmtId="0" fontId="2" fillId="0" borderId="3" xfId="1" applyFont="1" applyFill="1" applyBorder="1" applyAlignment="1">
      <alignment horizontal="center" vertical="top"/>
    </xf>
    <xf numFmtId="0" fontId="5" fillId="0" borderId="3" xfId="1" applyFont="1" applyFill="1" applyBorder="1" applyAlignment="1">
      <alignment horizontal="center" vertical="top"/>
    </xf>
    <xf numFmtId="0" fontId="6" fillId="0" borderId="3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5" fillId="0" borderId="3" xfId="0" applyFont="1" applyBorder="1" applyAlignment="1">
      <alignment horizontal="center" vertical="top"/>
    </xf>
    <xf numFmtId="0" fontId="8" fillId="0" borderId="3" xfId="1" applyFont="1" applyFill="1" applyBorder="1" applyAlignment="1">
      <alignment horizontal="center" vertical="top"/>
    </xf>
    <xf numFmtId="0" fontId="2" fillId="5" borderId="8" xfId="1" applyFont="1" applyFill="1" applyBorder="1" applyAlignment="1">
      <alignment horizontal="center" vertical="top"/>
    </xf>
    <xf numFmtId="164" fontId="2" fillId="5" borderId="9" xfId="1" applyNumberFormat="1" applyFont="1" applyFill="1" applyBorder="1" applyAlignment="1">
      <alignment horizontal="center" vertical="top"/>
    </xf>
    <xf numFmtId="0" fontId="5" fillId="5" borderId="8" xfId="1" applyFont="1" applyFill="1" applyBorder="1" applyAlignment="1">
      <alignment horizontal="center" vertical="top"/>
    </xf>
    <xf numFmtId="164" fontId="5" fillId="5" borderId="9" xfId="1" applyNumberFormat="1" applyFont="1" applyFill="1" applyBorder="1" applyAlignment="1">
      <alignment horizontal="center" vertical="top"/>
    </xf>
    <xf numFmtId="0" fontId="6" fillId="5" borderId="8" xfId="0" applyFont="1" applyFill="1" applyBorder="1" applyAlignment="1">
      <alignment horizontal="center" vertical="top"/>
    </xf>
    <xf numFmtId="0" fontId="7" fillId="5" borderId="8" xfId="0" applyFont="1" applyFill="1" applyBorder="1" applyAlignment="1">
      <alignment horizontal="center" vertical="top"/>
    </xf>
    <xf numFmtId="0" fontId="5" fillId="5" borderId="8" xfId="0" applyFont="1" applyFill="1" applyBorder="1" applyAlignment="1">
      <alignment horizontal="center" vertical="top"/>
    </xf>
    <xf numFmtId="0" fontId="8" fillId="5" borderId="8" xfId="1" applyFont="1" applyFill="1" applyBorder="1" applyAlignment="1">
      <alignment horizontal="center" vertical="top"/>
    </xf>
    <xf numFmtId="164" fontId="8" fillId="5" borderId="9" xfId="1" applyNumberFormat="1" applyFont="1" applyFill="1" applyBorder="1" applyAlignment="1">
      <alignment horizontal="center" vertical="top"/>
    </xf>
    <xf numFmtId="0" fontId="2" fillId="6" borderId="4" xfId="1" applyFont="1" applyFill="1" applyBorder="1" applyAlignment="1">
      <alignment horizontal="center" vertical="top"/>
    </xf>
    <xf numFmtId="0" fontId="5" fillId="6" borderId="4" xfId="1" applyFont="1" applyFill="1" applyBorder="1" applyAlignment="1">
      <alignment horizontal="center" vertical="top"/>
    </xf>
    <xf numFmtId="0" fontId="6" fillId="6" borderId="4" xfId="0" applyFont="1" applyFill="1" applyBorder="1" applyAlignment="1">
      <alignment horizontal="center" vertical="top"/>
    </xf>
    <xf numFmtId="0" fontId="7" fillId="6" borderId="4" xfId="0" applyFont="1" applyFill="1" applyBorder="1" applyAlignment="1">
      <alignment horizontal="center" vertical="top"/>
    </xf>
    <xf numFmtId="0" fontId="5" fillId="6" borderId="4" xfId="0" applyFont="1" applyFill="1" applyBorder="1" applyAlignment="1">
      <alignment horizontal="center" vertical="top"/>
    </xf>
    <xf numFmtId="0" fontId="8" fillId="6" borderId="4" xfId="1" applyFont="1" applyFill="1" applyBorder="1" applyAlignment="1">
      <alignment horizontal="center" vertical="top"/>
    </xf>
    <xf numFmtId="0" fontId="0" fillId="7" borderId="0" xfId="0" applyFill="1"/>
    <xf numFmtId="0" fontId="0" fillId="7" borderId="0" xfId="0" applyFill="1" applyAlignment="1">
      <alignment horizontal="center"/>
    </xf>
    <xf numFmtId="0" fontId="2" fillId="0" borderId="4" xfId="1" applyFont="1" applyFill="1" applyBorder="1" applyAlignment="1">
      <alignment horizontal="center" vertical="top"/>
    </xf>
    <xf numFmtId="0" fontId="5" fillId="0" borderId="4" xfId="1" applyFont="1" applyFill="1" applyBorder="1" applyAlignment="1">
      <alignment horizontal="center" vertical="top"/>
    </xf>
    <xf numFmtId="0" fontId="8" fillId="0" borderId="4" xfId="1" applyFont="1" applyFill="1" applyBorder="1" applyAlignment="1">
      <alignment horizontal="center" vertical="top"/>
    </xf>
    <xf numFmtId="164" fontId="2" fillId="6" borderId="11" xfId="1" applyNumberFormat="1" applyFont="1" applyFill="1" applyBorder="1" applyAlignment="1">
      <alignment horizontal="center" vertical="top"/>
    </xf>
    <xf numFmtId="164" fontId="2" fillId="6" borderId="9" xfId="1" applyNumberFormat="1" applyFont="1" applyFill="1" applyBorder="1" applyAlignment="1">
      <alignment horizontal="center" vertical="top"/>
    </xf>
    <xf numFmtId="164" fontId="5" fillId="6" borderId="9" xfId="1" applyNumberFormat="1" applyFont="1" applyFill="1" applyBorder="1" applyAlignment="1">
      <alignment horizontal="center" vertical="top"/>
    </xf>
    <xf numFmtId="164" fontId="8" fillId="6" borderId="9" xfId="1" applyNumberFormat="1" applyFont="1" applyFill="1" applyBorder="1" applyAlignment="1">
      <alignment horizontal="center" vertical="top"/>
    </xf>
    <xf numFmtId="0" fontId="1" fillId="2" borderId="14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165" fontId="1" fillId="2" borderId="15" xfId="0" applyNumberFormat="1" applyFont="1" applyFill="1" applyBorder="1" applyAlignment="1">
      <alignment horizontal="center"/>
    </xf>
    <xf numFmtId="0" fontId="1" fillId="2" borderId="16" xfId="0" applyFont="1" applyFill="1" applyBorder="1" applyAlignment="1">
      <alignment horizontal="center"/>
    </xf>
    <xf numFmtId="165" fontId="1" fillId="2" borderId="15" xfId="0" applyNumberFormat="1" applyFont="1" applyFill="1" applyBorder="1" applyAlignment="1">
      <alignment horizontal="left"/>
    </xf>
    <xf numFmtId="0" fontId="1" fillId="2" borderId="7" xfId="0" applyFont="1" applyFill="1" applyBorder="1" applyAlignment="1">
      <alignment horizontal="center"/>
    </xf>
    <xf numFmtId="0" fontId="5" fillId="0" borderId="3" xfId="1" applyFont="1" applyFill="1" applyBorder="1" applyAlignment="1">
      <alignment horizontal="center"/>
    </xf>
    <xf numFmtId="165" fontId="5" fillId="5" borderId="2" xfId="1" applyNumberFormat="1" applyFont="1" applyFill="1" applyBorder="1" applyAlignment="1">
      <alignment horizontal="center"/>
    </xf>
    <xf numFmtId="164" fontId="5" fillId="5" borderId="2" xfId="1" applyNumberFormat="1" applyFont="1" applyFill="1" applyBorder="1" applyAlignment="1">
      <alignment horizontal="center"/>
    </xf>
    <xf numFmtId="165" fontId="2" fillId="5" borderId="2" xfId="1" applyNumberFormat="1" applyFont="1" applyFill="1" applyBorder="1" applyAlignment="1">
      <alignment horizontal="center"/>
    </xf>
    <xf numFmtId="164" fontId="2" fillId="5" borderId="2" xfId="1" applyNumberFormat="1" applyFont="1" applyFill="1" applyBorder="1" applyAlignment="1">
      <alignment horizontal="center"/>
    </xf>
    <xf numFmtId="165" fontId="8" fillId="5" borderId="2" xfId="1" applyNumberFormat="1" applyFont="1" applyFill="1" applyBorder="1" applyAlignment="1">
      <alignment horizontal="center"/>
    </xf>
    <xf numFmtId="164" fontId="8" fillId="5" borderId="2" xfId="1" applyNumberFormat="1" applyFont="1" applyFill="1" applyBorder="1" applyAlignment="1">
      <alignment horizontal="center"/>
    </xf>
    <xf numFmtId="164" fontId="5" fillId="6" borderId="2" xfId="1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5" fillId="7" borderId="0" xfId="1" applyFont="1" applyFill="1" applyBorder="1" applyAlignment="1">
      <alignment horizontal="left"/>
    </xf>
    <xf numFmtId="0" fontId="5" fillId="7" borderId="0" xfId="1" applyFont="1" applyFill="1" applyBorder="1" applyAlignment="1">
      <alignment horizontal="center"/>
    </xf>
    <xf numFmtId="0" fontId="2" fillId="7" borderId="0" xfId="1" applyFont="1" applyFill="1" applyBorder="1" applyAlignment="1">
      <alignment horizontal="center" vertical="top"/>
    </xf>
    <xf numFmtId="164" fontId="2" fillId="7" borderId="0" xfId="1" applyNumberFormat="1" applyFont="1" applyFill="1" applyBorder="1" applyAlignment="1">
      <alignment horizontal="center" vertical="top"/>
    </xf>
    <xf numFmtId="164" fontId="5" fillId="7" borderId="0" xfId="1" applyNumberFormat="1" applyFont="1" applyFill="1" applyBorder="1" applyAlignment="1">
      <alignment horizontal="center"/>
    </xf>
    <xf numFmtId="165" fontId="5" fillId="7" borderId="0" xfId="1" applyNumberFormat="1" applyFont="1" applyFill="1" applyBorder="1" applyAlignment="1">
      <alignment horizontal="center"/>
    </xf>
    <xf numFmtId="165" fontId="5" fillId="7" borderId="0" xfId="1" applyNumberFormat="1" applyFont="1" applyFill="1" applyBorder="1" applyAlignment="1">
      <alignment horizontal="left"/>
    </xf>
    <xf numFmtId="0" fontId="1" fillId="2" borderId="5" xfId="0" applyFont="1" applyFill="1" applyBorder="1" applyAlignment="1"/>
    <xf numFmtId="0" fontId="1" fillId="2" borderId="12" xfId="0" applyFont="1" applyFill="1" applyBorder="1" applyAlignment="1"/>
    <xf numFmtId="0" fontId="1" fillId="2" borderId="13" xfId="0" applyFont="1" applyFill="1" applyBorder="1" applyAlignment="1"/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3" xfId="0" applyFont="1" applyFill="1" applyBorder="1" applyAlignment="1">
      <alignment horizontal="center"/>
    </xf>
    <xf numFmtId="0" fontId="1" fillId="2" borderId="24" xfId="0" applyFont="1" applyFill="1" applyBorder="1" applyAlignment="1">
      <alignment horizontal="center"/>
    </xf>
    <xf numFmtId="0" fontId="2" fillId="0" borderId="8" xfId="1" applyFont="1" applyFill="1" applyBorder="1" applyAlignment="1">
      <alignment vertical="top"/>
    </xf>
    <xf numFmtId="165" fontId="2" fillId="0" borderId="9" xfId="1" applyNumberFormat="1" applyFont="1" applyFill="1" applyBorder="1" applyAlignment="1">
      <alignment vertical="top" wrapText="1"/>
    </xf>
    <xf numFmtId="0" fontId="5" fillId="0" borderId="8" xfId="1" applyFont="1" applyFill="1" applyBorder="1" applyAlignment="1">
      <alignment vertical="top"/>
    </xf>
    <xf numFmtId="165" fontId="5" fillId="0" borderId="9" xfId="1" applyNumberFormat="1" applyFont="1" applyFill="1" applyBorder="1" applyAlignment="1">
      <alignment vertical="top" wrapText="1"/>
    </xf>
    <xf numFmtId="165" fontId="2" fillId="0" borderId="9" xfId="1" applyNumberFormat="1" applyFont="1" applyFill="1" applyBorder="1" applyAlignment="1">
      <alignment vertical="top"/>
    </xf>
    <xf numFmtId="165" fontId="5" fillId="0" borderId="9" xfId="1" applyNumberFormat="1" applyFont="1" applyFill="1" applyBorder="1" applyAlignment="1">
      <alignment vertical="top"/>
    </xf>
    <xf numFmtId="0" fontId="6" fillId="0" borderId="8" xfId="0" applyFont="1" applyBorder="1" applyAlignment="1">
      <alignment vertical="top"/>
    </xf>
    <xf numFmtId="0" fontId="8" fillId="0" borderId="8" xfId="1" applyFont="1" applyFill="1" applyBorder="1" applyAlignment="1">
      <alignment vertical="top"/>
    </xf>
    <xf numFmtId="165" fontId="8" fillId="0" borderId="9" xfId="1" applyNumberFormat="1" applyFont="1" applyFill="1" applyBorder="1" applyAlignment="1">
      <alignment vertical="top" wrapText="1"/>
    </xf>
    <xf numFmtId="0" fontId="2" fillId="0" borderId="25" xfId="1" applyFont="1" applyFill="1" applyBorder="1" applyAlignment="1">
      <alignment vertical="top"/>
    </xf>
    <xf numFmtId="0" fontId="5" fillId="0" borderId="10" xfId="1" applyFont="1" applyFill="1" applyBorder="1" applyAlignment="1">
      <alignment horizontal="center" vertical="top"/>
    </xf>
    <xf numFmtId="0" fontId="2" fillId="0" borderId="26" xfId="1" applyFont="1" applyFill="1" applyBorder="1" applyAlignment="1">
      <alignment horizontal="center" vertical="top"/>
    </xf>
    <xf numFmtId="0" fontId="2" fillId="5" borderId="25" xfId="1" applyFont="1" applyFill="1" applyBorder="1" applyAlignment="1">
      <alignment horizontal="center" vertical="top"/>
    </xf>
    <xf numFmtId="164" fontId="2" fillId="5" borderId="10" xfId="1" applyNumberFormat="1" applyFont="1" applyFill="1" applyBorder="1" applyAlignment="1">
      <alignment horizontal="center" vertical="top"/>
    </xf>
    <xf numFmtId="164" fontId="2" fillId="5" borderId="27" xfId="1" applyNumberFormat="1" applyFont="1" applyFill="1" applyBorder="1" applyAlignment="1">
      <alignment horizontal="center" vertical="top"/>
    </xf>
    <xf numFmtId="0" fontId="2" fillId="6" borderId="28" xfId="1" applyFont="1" applyFill="1" applyBorder="1" applyAlignment="1">
      <alignment horizontal="center" vertical="top"/>
    </xf>
    <xf numFmtId="0" fontId="2" fillId="6" borderId="10" xfId="1" applyFont="1" applyFill="1" applyBorder="1" applyAlignment="1">
      <alignment horizontal="center" vertical="top"/>
    </xf>
    <xf numFmtId="164" fontId="2" fillId="6" borderId="10" xfId="1" applyNumberFormat="1" applyFont="1" applyFill="1" applyBorder="1" applyAlignment="1">
      <alignment horizontal="center" vertical="top"/>
    </xf>
    <xf numFmtId="164" fontId="2" fillId="6" borderId="27" xfId="1" applyNumberFormat="1" applyFont="1" applyFill="1" applyBorder="1" applyAlignment="1">
      <alignment horizontal="center" vertical="top"/>
    </xf>
    <xf numFmtId="0" fontId="2" fillId="0" borderId="28" xfId="1" applyFont="1" applyFill="1" applyBorder="1" applyAlignment="1">
      <alignment horizontal="center" vertical="top"/>
    </xf>
    <xf numFmtId="0" fontId="2" fillId="0" borderId="10" xfId="1" applyFont="1" applyFill="1" applyBorder="1" applyAlignment="1">
      <alignment horizontal="center" vertical="top"/>
    </xf>
    <xf numFmtId="164" fontId="2" fillId="0" borderId="10" xfId="1" applyNumberFormat="1" applyFont="1" applyFill="1" applyBorder="1" applyAlignment="1">
      <alignment horizontal="center" vertical="top"/>
    </xf>
    <xf numFmtId="165" fontId="2" fillId="0" borderId="27" xfId="1" applyNumberFormat="1" applyFont="1" applyFill="1" applyBorder="1" applyAlignment="1">
      <alignment vertical="top"/>
    </xf>
    <xf numFmtId="0" fontId="1" fillId="7" borderId="0" xfId="0" applyFont="1" applyFill="1" applyBorder="1" applyAlignment="1">
      <alignment vertical="center"/>
    </xf>
    <xf numFmtId="44" fontId="1" fillId="7" borderId="0" xfId="2" applyFont="1" applyFill="1" applyBorder="1" applyAlignment="1">
      <alignment horizontal="center"/>
    </xf>
    <xf numFmtId="0" fontId="1" fillId="7" borderId="0" xfId="0" applyFont="1" applyFill="1" applyBorder="1" applyAlignment="1">
      <alignment horizontal="center"/>
    </xf>
    <xf numFmtId="0" fontId="1" fillId="7" borderId="0" xfId="0" applyFont="1" applyFill="1" applyBorder="1" applyAlignment="1"/>
    <xf numFmtId="0" fontId="5" fillId="0" borderId="8" xfId="1" applyFont="1" applyFill="1" applyBorder="1" applyAlignment="1">
      <alignment horizontal="left"/>
    </xf>
    <xf numFmtId="165" fontId="2" fillId="0" borderId="9" xfId="1" applyNumberFormat="1" applyFont="1" applyFill="1" applyBorder="1" applyAlignment="1">
      <alignment horizontal="left" wrapText="1"/>
    </xf>
    <xf numFmtId="165" fontId="5" fillId="0" borderId="9" xfId="1" applyNumberFormat="1" applyFont="1" applyFill="1" applyBorder="1" applyAlignment="1">
      <alignment horizontal="left" wrapText="1"/>
    </xf>
    <xf numFmtId="165" fontId="2" fillId="0" borderId="9" xfId="1" applyNumberFormat="1" applyFont="1" applyFill="1" applyBorder="1" applyAlignment="1">
      <alignment horizontal="left"/>
    </xf>
    <xf numFmtId="165" fontId="5" fillId="0" borderId="9" xfId="1" applyNumberFormat="1" applyFont="1" applyFill="1" applyBorder="1" applyAlignment="1">
      <alignment horizontal="left"/>
    </xf>
    <xf numFmtId="0" fontId="5" fillId="0" borderId="8" xfId="0" applyFont="1" applyBorder="1" applyAlignment="1">
      <alignment vertical="center"/>
    </xf>
    <xf numFmtId="0" fontId="2" fillId="0" borderId="8" xfId="1" applyFont="1" applyFill="1" applyBorder="1" applyAlignment="1">
      <alignment horizontal="left"/>
    </xf>
    <xf numFmtId="0" fontId="8" fillId="0" borderId="8" xfId="1" applyFont="1" applyFill="1" applyBorder="1" applyAlignment="1">
      <alignment horizontal="left"/>
    </xf>
    <xf numFmtId="165" fontId="8" fillId="0" borderId="9" xfId="1" applyNumberFormat="1" applyFont="1" applyFill="1" applyBorder="1" applyAlignment="1">
      <alignment horizontal="left" wrapText="1"/>
    </xf>
    <xf numFmtId="0" fontId="5" fillId="3" borderId="8" xfId="1" applyFont="1" applyFill="1" applyBorder="1" applyAlignment="1">
      <alignment horizontal="left"/>
    </xf>
    <xf numFmtId="165" fontId="2" fillId="3" borderId="9" xfId="1" applyNumberFormat="1" applyFont="1" applyFill="1" applyBorder="1" applyAlignment="1">
      <alignment horizontal="left" wrapText="1"/>
    </xf>
    <xf numFmtId="0" fontId="5" fillId="0" borderId="8" xfId="0" applyFont="1" applyBorder="1"/>
    <xf numFmtId="0" fontId="2" fillId="0" borderId="25" xfId="1" applyFont="1" applyFill="1" applyBorder="1" applyAlignment="1">
      <alignment horizontal="left"/>
    </xf>
    <xf numFmtId="0" fontId="5" fillId="0" borderId="10" xfId="1" applyFont="1" applyFill="1" applyBorder="1" applyAlignment="1">
      <alignment horizontal="center"/>
    </xf>
    <xf numFmtId="0" fontId="2" fillId="0" borderId="10" xfId="1" applyFont="1" applyFill="1" applyBorder="1" applyAlignment="1">
      <alignment horizontal="center"/>
    </xf>
    <xf numFmtId="165" fontId="2" fillId="5" borderId="10" xfId="1" applyNumberFormat="1" applyFont="1" applyFill="1" applyBorder="1" applyAlignment="1">
      <alignment horizontal="center"/>
    </xf>
    <xf numFmtId="164" fontId="2" fillId="5" borderId="10" xfId="1" applyNumberFormat="1" applyFont="1" applyFill="1" applyBorder="1" applyAlignment="1">
      <alignment horizontal="center"/>
    </xf>
    <xf numFmtId="164" fontId="5" fillId="6" borderId="10" xfId="1" applyNumberFormat="1" applyFont="1" applyFill="1" applyBorder="1" applyAlignment="1">
      <alignment horizontal="center"/>
    </xf>
    <xf numFmtId="165" fontId="2" fillId="0" borderId="10" xfId="1" applyNumberFormat="1" applyFont="1" applyFill="1" applyBorder="1" applyAlignment="1">
      <alignment horizontal="center"/>
    </xf>
    <xf numFmtId="164" fontId="2" fillId="0" borderId="10" xfId="1" applyNumberFormat="1" applyFont="1" applyFill="1" applyBorder="1" applyAlignment="1">
      <alignment horizontal="center"/>
    </xf>
    <xf numFmtId="165" fontId="2" fillId="0" borderId="27" xfId="1" applyNumberFormat="1" applyFont="1" applyFill="1" applyBorder="1" applyAlignment="1">
      <alignment horizontal="left" wrapText="1"/>
    </xf>
    <xf numFmtId="0" fontId="5" fillId="0" borderId="3" xfId="0" applyFont="1" applyBorder="1" applyAlignment="1">
      <alignment horizontal="center"/>
    </xf>
    <xf numFmtId="0" fontId="5" fillId="0" borderId="3" xfId="0" applyFont="1" applyBorder="1" applyAlignment="1">
      <alignment horizontal="center" vertical="center"/>
    </xf>
    <xf numFmtId="0" fontId="2" fillId="0" borderId="3" xfId="1" applyFont="1" applyFill="1" applyBorder="1" applyAlignment="1">
      <alignment horizontal="center"/>
    </xf>
    <xf numFmtId="0" fontId="8" fillId="0" borderId="3" xfId="1" applyFont="1" applyFill="1" applyBorder="1" applyAlignment="1">
      <alignment horizontal="center"/>
    </xf>
    <xf numFmtId="0" fontId="7" fillId="0" borderId="3" xfId="0" applyFont="1" applyBorder="1" applyAlignment="1">
      <alignment horizontal="center" vertical="center"/>
    </xf>
    <xf numFmtId="0" fontId="5" fillId="3" borderId="3" xfId="1" applyFont="1" applyFill="1" applyBorder="1" applyAlignment="1">
      <alignment horizontal="center"/>
    </xf>
    <xf numFmtId="0" fontId="2" fillId="0" borderId="26" xfId="1" applyFont="1" applyFill="1" applyBorder="1" applyAlignment="1">
      <alignment horizontal="center"/>
    </xf>
    <xf numFmtId="0" fontId="5" fillId="5" borderId="8" xfId="1" applyFont="1" applyFill="1" applyBorder="1" applyAlignment="1">
      <alignment horizontal="center"/>
    </xf>
    <xf numFmtId="164" fontId="5" fillId="5" borderId="9" xfId="1" applyNumberFormat="1" applyFont="1" applyFill="1" applyBorder="1" applyAlignment="1">
      <alignment horizontal="center"/>
    </xf>
    <xf numFmtId="0" fontId="5" fillId="5" borderId="8" xfId="0" applyFont="1" applyFill="1" applyBorder="1" applyAlignment="1">
      <alignment horizontal="center"/>
    </xf>
    <xf numFmtId="0" fontId="5" fillId="5" borderId="8" xfId="0" applyFont="1" applyFill="1" applyBorder="1" applyAlignment="1">
      <alignment horizontal="center" vertical="center"/>
    </xf>
    <xf numFmtId="0" fontId="2" fillId="5" borderId="8" xfId="1" applyFont="1" applyFill="1" applyBorder="1" applyAlignment="1">
      <alignment horizontal="center"/>
    </xf>
    <xf numFmtId="164" fontId="2" fillId="5" borderId="9" xfId="1" applyNumberFormat="1" applyFont="1" applyFill="1" applyBorder="1" applyAlignment="1">
      <alignment horizontal="center"/>
    </xf>
    <xf numFmtId="0" fontId="8" fillId="5" borderId="8" xfId="1" applyFont="1" applyFill="1" applyBorder="1" applyAlignment="1">
      <alignment horizontal="center"/>
    </xf>
    <xf numFmtId="164" fontId="8" fillId="5" borderId="9" xfId="1" applyNumberFormat="1" applyFont="1" applyFill="1" applyBorder="1" applyAlignment="1">
      <alignment horizontal="center"/>
    </xf>
    <xf numFmtId="0" fontId="7" fillId="5" borderId="8" xfId="0" applyFont="1" applyFill="1" applyBorder="1" applyAlignment="1">
      <alignment horizontal="center" vertical="center"/>
    </xf>
    <xf numFmtId="0" fontId="2" fillId="5" borderId="25" xfId="1" applyFont="1" applyFill="1" applyBorder="1" applyAlignment="1">
      <alignment horizontal="center"/>
    </xf>
    <xf numFmtId="164" fontId="2" fillId="5" borderId="27" xfId="1" applyNumberFormat="1" applyFont="1" applyFill="1" applyBorder="1" applyAlignment="1">
      <alignment horizontal="center"/>
    </xf>
    <xf numFmtId="0" fontId="5" fillId="0" borderId="4" xfId="1" applyFont="1" applyFill="1" applyBorder="1" applyAlignment="1">
      <alignment horizontal="center"/>
    </xf>
    <xf numFmtId="0" fontId="2" fillId="0" borderId="4" xfId="1" applyFont="1" applyFill="1" applyBorder="1" applyAlignment="1">
      <alignment horizontal="center"/>
    </xf>
    <xf numFmtId="0" fontId="8" fillId="0" borderId="4" xfId="1" applyFont="1" applyFill="1" applyBorder="1" applyAlignment="1">
      <alignment horizontal="center"/>
    </xf>
    <xf numFmtId="0" fontId="5" fillId="3" borderId="4" xfId="1" applyFont="1" applyFill="1" applyBorder="1" applyAlignment="1">
      <alignment horizontal="center"/>
    </xf>
    <xf numFmtId="0" fontId="2" fillId="0" borderId="28" xfId="1" applyFont="1" applyFill="1" applyBorder="1" applyAlignment="1">
      <alignment horizontal="center"/>
    </xf>
    <xf numFmtId="164" fontId="5" fillId="6" borderId="9" xfId="1" applyNumberFormat="1" applyFont="1" applyFill="1" applyBorder="1" applyAlignment="1">
      <alignment horizontal="center"/>
    </xf>
    <xf numFmtId="164" fontId="5" fillId="6" borderId="27" xfId="1" applyNumberFormat="1" applyFont="1" applyFill="1" applyBorder="1" applyAlignment="1">
      <alignment horizontal="center"/>
    </xf>
    <xf numFmtId="164" fontId="5" fillId="9" borderId="0" xfId="1" applyNumberFormat="1" applyFont="1" applyFill="1" applyBorder="1" applyAlignment="1">
      <alignment horizontal="center"/>
    </xf>
    <xf numFmtId="164" fontId="1" fillId="2" borderId="0" xfId="0" applyNumberFormat="1" applyFont="1" applyFill="1" applyBorder="1" applyAlignment="1">
      <alignment horizontal="center"/>
    </xf>
    <xf numFmtId="0" fontId="1" fillId="4" borderId="29" xfId="1" applyFont="1" applyFill="1" applyBorder="1" applyAlignment="1">
      <alignment horizontal="center"/>
    </xf>
    <xf numFmtId="0" fontId="2" fillId="0" borderId="3" xfId="1" applyNumberFormat="1" applyFont="1" applyFill="1" applyBorder="1" applyAlignment="1">
      <alignment horizontal="center" vertical="top"/>
    </xf>
    <xf numFmtId="0" fontId="5" fillId="0" borderId="3" xfId="1" applyNumberFormat="1" applyFont="1" applyFill="1" applyBorder="1" applyAlignment="1">
      <alignment horizontal="center" vertical="top"/>
    </xf>
    <xf numFmtId="0" fontId="5" fillId="8" borderId="0" xfId="0" applyFont="1" applyFill="1" applyBorder="1" applyAlignment="1">
      <alignment horizontal="center"/>
    </xf>
    <xf numFmtId="0" fontId="5" fillId="7" borderId="0" xfId="0" applyFont="1" applyFill="1" applyBorder="1" applyAlignment="1">
      <alignment horizontal="left"/>
    </xf>
    <xf numFmtId="0" fontId="5" fillId="7" borderId="0" xfId="0" applyFont="1" applyFill="1"/>
    <xf numFmtId="49" fontId="2" fillId="5" borderId="2" xfId="1" applyNumberFormat="1" applyFont="1" applyFill="1" applyBorder="1" applyAlignment="1">
      <alignment horizontal="center" vertical="top"/>
    </xf>
    <xf numFmtId="49" fontId="5" fillId="5" borderId="2" xfId="1" applyNumberFormat="1" applyFont="1" applyFill="1" applyBorder="1" applyAlignment="1">
      <alignment horizontal="center" vertical="top"/>
    </xf>
    <xf numFmtId="49" fontId="6" fillId="5" borderId="2" xfId="0" applyNumberFormat="1" applyFont="1" applyFill="1" applyBorder="1" applyAlignment="1">
      <alignment horizontal="center" vertical="top"/>
    </xf>
    <xf numFmtId="49" fontId="7" fillId="5" borderId="2" xfId="0" applyNumberFormat="1" applyFont="1" applyFill="1" applyBorder="1" applyAlignment="1">
      <alignment horizontal="center" vertical="top"/>
    </xf>
    <xf numFmtId="49" fontId="5" fillId="5" borderId="2" xfId="0" applyNumberFormat="1" applyFont="1" applyFill="1" applyBorder="1" applyAlignment="1">
      <alignment horizontal="center" vertical="top"/>
    </xf>
    <xf numFmtId="49" fontId="8" fillId="5" borderId="2" xfId="1" applyNumberFormat="1" applyFont="1" applyFill="1" applyBorder="1" applyAlignment="1">
      <alignment horizontal="center" vertical="top"/>
    </xf>
    <xf numFmtId="49" fontId="2" fillId="5" borderId="10" xfId="1" applyNumberFormat="1" applyFont="1" applyFill="1" applyBorder="1" applyAlignment="1">
      <alignment horizontal="center" vertical="top"/>
    </xf>
    <xf numFmtId="49" fontId="2" fillId="7" borderId="0" xfId="1" applyNumberFormat="1" applyFont="1" applyFill="1" applyBorder="1" applyAlignment="1">
      <alignment horizontal="center" vertical="top"/>
    </xf>
    <xf numFmtId="49" fontId="1" fillId="7" borderId="0" xfId="2" applyNumberFormat="1" applyFont="1" applyFill="1" applyBorder="1" applyAlignment="1">
      <alignment horizontal="center"/>
    </xf>
    <xf numFmtId="49" fontId="1" fillId="2" borderId="21" xfId="0" applyNumberFormat="1" applyFont="1" applyFill="1" applyBorder="1" applyAlignment="1">
      <alignment horizontal="center"/>
    </xf>
    <xf numFmtId="49" fontId="5" fillId="5" borderId="2" xfId="1" applyNumberFormat="1" applyFont="1" applyFill="1" applyBorder="1" applyAlignment="1">
      <alignment horizontal="center"/>
    </xf>
    <xf numFmtId="49" fontId="5" fillId="5" borderId="2" xfId="0" applyNumberFormat="1" applyFont="1" applyFill="1" applyBorder="1" applyAlignment="1">
      <alignment horizontal="center"/>
    </xf>
    <xf numFmtId="49" fontId="5" fillId="5" borderId="2" xfId="0" applyNumberFormat="1" applyFont="1" applyFill="1" applyBorder="1" applyAlignment="1">
      <alignment horizontal="center" vertical="center"/>
    </xf>
    <xf numFmtId="49" fontId="2" fillId="5" borderId="2" xfId="1" applyNumberFormat="1" applyFont="1" applyFill="1" applyBorder="1" applyAlignment="1">
      <alignment horizontal="center"/>
    </xf>
    <xf numFmtId="49" fontId="8" fillId="5" borderId="2" xfId="1" applyNumberFormat="1" applyFont="1" applyFill="1" applyBorder="1" applyAlignment="1">
      <alignment horizontal="center"/>
    </xf>
    <xf numFmtId="49" fontId="7" fillId="5" borderId="2" xfId="0" applyNumberFormat="1" applyFont="1" applyFill="1" applyBorder="1" applyAlignment="1">
      <alignment horizontal="center" vertical="center"/>
    </xf>
    <xf numFmtId="49" fontId="2" fillId="5" borderId="10" xfId="1" applyNumberFormat="1" applyFont="1" applyFill="1" applyBorder="1" applyAlignment="1">
      <alignment horizontal="center"/>
    </xf>
    <xf numFmtId="0" fontId="2" fillId="6" borderId="11" xfId="1" applyNumberFormat="1" applyFont="1" applyFill="1" applyBorder="1" applyAlignment="1">
      <alignment horizontal="center" vertical="top"/>
    </xf>
    <xf numFmtId="164" fontId="1" fillId="7" borderId="0" xfId="0" applyNumberFormat="1" applyFont="1" applyFill="1" applyBorder="1" applyAlignment="1">
      <alignment horizontal="center"/>
    </xf>
    <xf numFmtId="164" fontId="2" fillId="10" borderId="31" xfId="1" applyNumberFormat="1" applyFont="1" applyFill="1" applyBorder="1" applyAlignment="1">
      <alignment horizontal="center" vertical="top"/>
    </xf>
    <xf numFmtId="164" fontId="5" fillId="10" borderId="32" xfId="1" applyNumberFormat="1" applyFont="1" applyFill="1" applyBorder="1" applyAlignment="1">
      <alignment horizontal="center" vertical="top"/>
    </xf>
    <xf numFmtId="164" fontId="2" fillId="10" borderId="32" xfId="1" applyNumberFormat="1" applyFont="1" applyFill="1" applyBorder="1" applyAlignment="1">
      <alignment horizontal="center" vertical="top"/>
    </xf>
    <xf numFmtId="164" fontId="8" fillId="10" borderId="32" xfId="1" applyNumberFormat="1" applyFont="1" applyFill="1" applyBorder="1" applyAlignment="1">
      <alignment horizontal="center" vertical="top"/>
    </xf>
    <xf numFmtId="164" fontId="2" fillId="10" borderId="33" xfId="1" applyNumberFormat="1" applyFont="1" applyFill="1" applyBorder="1" applyAlignment="1">
      <alignment horizontal="center" vertical="top"/>
    </xf>
    <xf numFmtId="164" fontId="5" fillId="10" borderId="34" xfId="1" applyNumberFormat="1" applyFont="1" applyFill="1" applyBorder="1" applyAlignment="1">
      <alignment horizontal="center"/>
    </xf>
    <xf numFmtId="164" fontId="5" fillId="10" borderId="32" xfId="1" applyNumberFormat="1" applyFont="1" applyFill="1" applyBorder="1" applyAlignment="1">
      <alignment horizontal="center"/>
    </xf>
    <xf numFmtId="164" fontId="5" fillId="10" borderId="33" xfId="1" applyNumberFormat="1" applyFont="1" applyFill="1" applyBorder="1" applyAlignment="1">
      <alignment horizontal="center"/>
    </xf>
    <xf numFmtId="164" fontId="5" fillId="6" borderId="35" xfId="1" applyNumberFormat="1" applyFont="1" applyFill="1" applyBorder="1" applyAlignment="1">
      <alignment horizontal="center"/>
    </xf>
    <xf numFmtId="164" fontId="5" fillId="6" borderId="36" xfId="1" applyNumberFormat="1" applyFont="1" applyFill="1" applyBorder="1" applyAlignment="1">
      <alignment horizontal="center"/>
    </xf>
    <xf numFmtId="0" fontId="5" fillId="0" borderId="37" xfId="1" applyFont="1" applyFill="1" applyBorder="1" applyAlignment="1">
      <alignment horizontal="center"/>
    </xf>
    <xf numFmtId="0" fontId="1" fillId="2" borderId="38" xfId="0" applyFont="1" applyFill="1" applyBorder="1" applyAlignment="1">
      <alignment horizontal="center"/>
    </xf>
    <xf numFmtId="0" fontId="1" fillId="2" borderId="39" xfId="0" applyFont="1" applyFill="1" applyBorder="1" applyAlignment="1">
      <alignment horizontal="center"/>
    </xf>
    <xf numFmtId="0" fontId="1" fillId="2" borderId="40" xfId="0" applyFont="1" applyFill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0" fontId="1" fillId="2" borderId="41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44" fontId="1" fillId="2" borderId="18" xfId="2" applyFont="1" applyFill="1" applyBorder="1" applyAlignment="1">
      <alignment horizontal="center"/>
    </xf>
    <xf numFmtId="44" fontId="1" fillId="2" borderId="17" xfId="2" applyFont="1" applyFill="1" applyBorder="1" applyAlignment="1">
      <alignment horizontal="center"/>
    </xf>
    <xf numFmtId="44" fontId="1" fillId="2" borderId="19" xfId="2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1" fillId="2" borderId="19" xfId="0" applyFont="1" applyFill="1" applyBorder="1" applyAlignment="1">
      <alignment horizontal="center"/>
    </xf>
    <xf numFmtId="0" fontId="13" fillId="7" borderId="30" xfId="0" applyFont="1" applyFill="1" applyBorder="1" applyAlignment="1">
      <alignment horizontal="center" vertical="center"/>
    </xf>
  </cellXfs>
  <cellStyles count="3">
    <cellStyle name="Moeda" xfId="2" builtinId="4"/>
    <cellStyle name="Normal" xfId="0" builtinId="0"/>
    <cellStyle name="Total" xfId="1" builtinId="25"/>
  </cellStyles>
  <dxfs count="3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_-&quot;R$&quot;* #,##0.00_-;\-&quot;R$&quot;* #,##0.00_-;_-&quot;R$&quot;* &quot;-&quot;??_-;_-@_-"/>
      <fill>
        <patternFill patternType="solid">
          <fgColor indexed="64"/>
          <bgColor theme="8" tint="-0.249977111117893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&quot;R$&quot;* #,##0.00_-;\-&quot;R$&quot;* #,##0.00_-;_-&quot;R$&quot;* &quot;-&quot;??_-;_-@_-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&quot;R$&quot;* #,##0.00_-;\-&quot;R$&quot;* #,##0.00_-;_-&quot;R$&quot;* &quot;-&quot;??_-;_-@_-"/>
      <fill>
        <patternFill patternType="solid">
          <fgColor indexed="64"/>
          <bgColor theme="8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&quot;R$&quot;* #,##0.00_-;\-&quot;R$&quot;* #,##0.00_-;_-&quot;R$&quot;* &quot;-&quot;??_-;_-@_-"/>
      <fill>
        <patternFill patternType="solid">
          <fgColor indexed="64"/>
          <bgColor theme="8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&quot;R$&quot;* #,##0.00_-;\-&quot;R$&quot;* #,##0.00_-;_-&quot;R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</font>
      <fill>
        <patternFill patternType="solid">
          <fgColor theme="6" tint="0.79998168889431442"/>
          <bgColor theme="6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medium">
          <color indexed="64"/>
        </top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4F88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112183</xdr:colOff>
      <xdr:row>0</xdr:row>
      <xdr:rowOff>174625</xdr:rowOff>
    </xdr:from>
    <xdr:to>
      <xdr:col>1</xdr:col>
      <xdr:colOff>191558</xdr:colOff>
      <xdr:row>0</xdr:row>
      <xdr:rowOff>560917</xdr:rowOff>
    </xdr:to>
    <xdr:sp macro="[0]!EstaPastaDeTrabalho.VerificarEPreencher" textlink="">
      <xdr:nvSpPr>
        <xdr:cNvPr id="2" name="CaixaDeTexto 1">
          <a:extLst>
            <a:ext uri="{FF2B5EF4-FFF2-40B4-BE49-F238E27FC236}">
              <a16:creationId xmlns:a16="http://schemas.microsoft.com/office/drawing/2014/main" id="{8AB77C97-D41B-4B46-ABD3-5E5050F7115C}"/>
            </a:ext>
          </a:extLst>
        </xdr:cNvPr>
        <xdr:cNvSpPr txBox="1"/>
      </xdr:nvSpPr>
      <xdr:spPr>
        <a:xfrm>
          <a:off x="112183" y="174625"/>
          <a:ext cx="2809875" cy="386292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800"/>
            <a:t>Atribuir</a:t>
          </a:r>
          <a:r>
            <a:rPr lang="pt-BR" sz="1800" baseline="0"/>
            <a:t> código razão</a:t>
          </a:r>
          <a:endParaRPr lang="pt-BR" sz="18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6DF6961-0356-4718-86A6-EA85B50139C5}" name="Tabela134568791011121324356789101112236457891011132345678911101223567891011131423465789101112" displayName="Tabela134568791011121324356789101112236457891011132345678911101223567891011131423465789101112" ref="A3:T89" totalsRowShown="0" headerRowDxfId="38" dataDxfId="36" totalsRowDxfId="35" headerRowBorderDxfId="37" totalsRowBorderDxfId="34" headerRowCellStyle="Total" dataCellStyle="Total">
  <tableColumns count="20">
    <tableColumn id="1" xr3:uid="{3226C532-D344-4D97-81BB-41FC220F9DEE}" name="FUNCIONÁRIO" dataDxfId="33" totalsRowDxfId="32" dataCellStyle="Total"/>
    <tableColumn id="10" xr3:uid="{93BF0C7D-E87A-4298-BB6E-C57C0894D6C6}" name="CODIGO" dataDxfId="31" totalsRowDxfId="30" dataCellStyle="Total"/>
    <tableColumn id="8" xr3:uid="{974F457A-7842-4624-979D-D9BADD2F5135}" name="CENTRO CUSTO" dataDxfId="29"/>
    <tableColumn id="11" xr3:uid="{581ABD6E-8907-48CE-9AB5-44AB91A19AC1}" name="Coluna1" totalsRowDxfId="28"/>
    <tableColumn id="12" xr3:uid="{3FD26102-4228-4C5E-ACC8-61E6FF8D15EB}" name="UNIDADE" totalsRowDxfId="27"/>
    <tableColumn id="13" xr3:uid="{D1F5D51C-2C4F-4CB3-BA24-3322AB4ABE0C}" name="VA" totalsRowDxfId="26"/>
    <tableColumn id="14" xr3:uid="{78E055DE-63F0-468B-8D3B-8DCB44956ABE}" name="VR" totalsRowDxfId="25"/>
    <tableColumn id="16" xr3:uid="{1F7940CF-C59B-404F-9613-5AAACE560052}" name="TOTAL VR/VA" dataDxfId="24" totalsRowDxfId="23" dataCellStyle="Total">
      <calculatedColumnFormula>SUM(Tabela134568791011121324356789101112236457891011132345678911101223567891011131423465789101112[[#This Row],[VA]:[VR]])</calculatedColumnFormula>
    </tableColumn>
    <tableColumn id="24" xr3:uid="{8AEA0129-75F7-4F42-94D6-450F5F752897}" name="CODIGO2" dataDxfId="22" totalsRowDxfId="21" dataCellStyle="Total"/>
    <tableColumn id="17" xr3:uid="{A0F9C09C-31F7-470D-8070-A874ADD50F06}" name="RAZÃO2" dataDxfId="20" totalsRowDxfId="19" dataCellStyle="Total"/>
    <tableColumn id="18" xr3:uid="{52A96B6A-EDBC-4882-BDF0-97B878B8DE96}" name="UNIDADE2" dataDxfId="18" totalsRowDxfId="17" dataCellStyle="Total"/>
    <tableColumn id="19" xr3:uid="{0D85794B-1F65-481D-9F19-98ECEE17AB1B}" name="VC" dataDxfId="16" totalsRowDxfId="15" dataCellStyle="Total"/>
    <tableColumn id="22" xr3:uid="{A40BA3A1-C39E-4215-A9A5-693D785B8FFD}" name="VT" dataDxfId="14" totalsRowDxfId="13" dataCellStyle="Total"/>
    <tableColumn id="20" xr3:uid="{AD9E9C09-EB49-4D41-A758-BA7DFA8B107D}" name="TOTAL VR/VA6" dataDxfId="12" totalsRowDxfId="11" dataCellStyle="Total">
      <calculatedColumnFormula>SUM(Tabela134568791011121324356789101112236457891011132345678911101223567891011131423465789101112[[#This Row],[VC]:[VT]])</calculatedColumnFormula>
    </tableColumn>
    <tableColumn id="2" xr3:uid="{E281D539-E8C9-453C-8094-5EF9FA36E1A7}" name="PRODUTO" dataDxfId="10" dataCellStyle="Total">
      <calculatedColumnFormula>IF(Tabela134568791011121324356789101112236457891011132345678911101223567891011131423465789101112[[#This Row],[CENTRO CUSTO]]&gt;=53000,"2 SERV","1 PEÇAS")</calculatedColumnFormula>
    </tableColumn>
    <tableColumn id="3" xr3:uid="{723D3D89-186F-4FE5-B7EB-9E4D2488E1D8}" name="DIAS ÚTEIS" dataDxfId="9" totalsRowDxfId="8" dataCellStyle="Total"/>
    <tableColumn id="4" xr3:uid="{2F192A6A-1378-4A84-BB07-07A5FA5678A5}" name="QTD" dataDxfId="7" totalsRowDxfId="6" dataCellStyle="Total"/>
    <tableColumn id="7" xr3:uid="{235A964D-018A-4722-B3F7-F000FBFAF16F}" name="VA2" dataDxfId="5" totalsRowDxfId="4" dataCellStyle="Total"/>
    <tableColumn id="9" xr3:uid="{52492FD3-6C58-400A-9F3F-454327DFFEAF}" name="VR3" dataDxfId="3" totalsRowDxfId="2" dataCellStyle="Total"/>
    <tableColumn id="6" xr3:uid="{091565DB-0335-4820-9BBC-A6D7D49B17D9}" name="OBSERVAÇÕES DE FÉRIAS" dataDxfId="1" totalsRowDxfId="0" dataCellStyle="Total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317FA7-9BE9-4AFD-A0A8-F6EE91EC9D76}">
  <sheetPr codeName="Planilha1"/>
  <dimension ref="A1:AM167"/>
  <sheetViews>
    <sheetView topLeftCell="E68" zoomScale="90" zoomScaleNormal="90" workbookViewId="0">
      <selection activeCell="O32" sqref="O32:O87"/>
    </sheetView>
  </sheetViews>
  <sheetFormatPr defaultRowHeight="15" x14ac:dyDescent="0.25"/>
  <cols>
    <col min="1" max="1" width="41" bestFit="1" customWidth="1"/>
    <col min="2" max="2" width="12.85546875" style="24" bestFit="1" customWidth="1"/>
    <col min="3" max="3" width="14.7109375" bestFit="1" customWidth="1"/>
    <col min="4" max="4" width="19.28515625" customWidth="1"/>
    <col min="5" max="7" width="13.42578125" customWidth="1"/>
    <col min="8" max="8" width="13.28515625" bestFit="1" customWidth="1"/>
    <col min="9" max="9" width="12.85546875" customWidth="1"/>
    <col min="10" max="10" width="15.85546875" customWidth="1"/>
    <col min="11" max="11" width="10.28515625" bestFit="1" customWidth="1"/>
    <col min="12" max="14" width="13.42578125" customWidth="1"/>
    <col min="15" max="15" width="14.140625" bestFit="1" customWidth="1"/>
    <col min="16" max="16" width="15.140625" bestFit="1" customWidth="1"/>
    <col min="17" max="17" width="9.28515625" bestFit="1" customWidth="1"/>
    <col min="18" max="18" width="11.7109375" bestFit="1" customWidth="1"/>
    <col min="19" max="19" width="12.7109375" bestFit="1" customWidth="1"/>
    <col min="20" max="20" width="41.28515625" bestFit="1" customWidth="1"/>
    <col min="21" max="39" width="9.140625" style="58"/>
  </cols>
  <sheetData>
    <row r="1" spans="1:27" ht="48.75" customHeight="1" thickBot="1" x14ac:dyDescent="0.3">
      <c r="A1" s="58"/>
      <c r="B1" s="59"/>
      <c r="C1" s="58"/>
      <c r="D1" s="220" t="s">
        <v>184</v>
      </c>
      <c r="E1" s="220"/>
      <c r="F1" s="220"/>
      <c r="G1" s="220"/>
      <c r="H1" s="220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</row>
    <row r="2" spans="1:27" ht="15.75" thickBot="1" x14ac:dyDescent="0.3">
      <c r="A2" s="89"/>
      <c r="B2" s="89"/>
      <c r="C2" s="90"/>
      <c r="D2" s="214" t="s">
        <v>170</v>
      </c>
      <c r="E2" s="215"/>
      <c r="F2" s="215"/>
      <c r="G2" s="215"/>
      <c r="H2" s="216"/>
      <c r="I2" s="217" t="s">
        <v>175</v>
      </c>
      <c r="J2" s="218"/>
      <c r="K2" s="218"/>
      <c r="L2" s="218"/>
      <c r="M2" s="218"/>
      <c r="N2" s="219"/>
      <c r="O2" s="68"/>
      <c r="P2" s="91"/>
      <c r="Q2" s="89"/>
      <c r="R2" s="89"/>
      <c r="S2" s="89"/>
      <c r="T2" s="89"/>
    </row>
    <row r="3" spans="1:27" ht="15.75" thickBot="1" x14ac:dyDescent="0.3">
      <c r="A3" s="92" t="s">
        <v>0</v>
      </c>
      <c r="B3" s="93" t="s">
        <v>161</v>
      </c>
      <c r="C3" s="94" t="s">
        <v>1</v>
      </c>
      <c r="D3" s="92" t="s">
        <v>163</v>
      </c>
      <c r="E3" s="93" t="s">
        <v>162</v>
      </c>
      <c r="F3" s="93" t="s">
        <v>6</v>
      </c>
      <c r="G3" s="93" t="s">
        <v>7</v>
      </c>
      <c r="H3" s="95" t="s">
        <v>166</v>
      </c>
      <c r="I3" s="72" t="s">
        <v>171</v>
      </c>
      <c r="J3" s="96" t="s">
        <v>167</v>
      </c>
      <c r="K3" s="93" t="s">
        <v>169</v>
      </c>
      <c r="L3" s="93" t="s">
        <v>5</v>
      </c>
      <c r="M3" s="93" t="s">
        <v>4</v>
      </c>
      <c r="N3" s="95" t="s">
        <v>168</v>
      </c>
      <c r="O3" s="213" t="s">
        <v>129</v>
      </c>
      <c r="P3" s="96" t="s">
        <v>2</v>
      </c>
      <c r="Q3" s="93" t="s">
        <v>3</v>
      </c>
      <c r="R3" s="93" t="s">
        <v>164</v>
      </c>
      <c r="S3" s="93" t="s">
        <v>165</v>
      </c>
      <c r="T3" s="95" t="s">
        <v>8</v>
      </c>
    </row>
    <row r="4" spans="1:27" x14ac:dyDescent="0.25">
      <c r="A4" s="97" t="s">
        <v>9</v>
      </c>
      <c r="B4" s="1" t="s">
        <v>151</v>
      </c>
      <c r="C4" s="173">
        <v>53212</v>
      </c>
      <c r="D4" s="43" t="s">
        <v>172</v>
      </c>
      <c r="E4" s="178" t="s">
        <v>180</v>
      </c>
      <c r="F4" s="25">
        <v>300</v>
      </c>
      <c r="G4" s="25">
        <v>396.5</v>
      </c>
      <c r="H4" s="44">
        <f>SUM(Tabela134568791011121324356789101112236457891011132345678911101223567891011131423465789101112[[#This Row],[VA]:[VR]])</f>
        <v>696.5</v>
      </c>
      <c r="I4" s="195" t="s">
        <v>179</v>
      </c>
      <c r="J4" s="52" t="s">
        <v>158</v>
      </c>
      <c r="K4" s="28" t="s">
        <v>180</v>
      </c>
      <c r="L4" s="29"/>
      <c r="M4" s="29">
        <v>130</v>
      </c>
      <c r="N4" s="64">
        <f>SUM(Tabela134568791011121324356789101112236457891011132345678911101223567891011131423465789101112[[#This Row],[VC]:[VT]])</f>
        <v>130</v>
      </c>
      <c r="O4" s="197" t="str">
        <f>IF(Tabela134568791011121324356789101112236457891011132345678911101223567891011131423465789101112[[#This Row],[CENTRO CUSTO]]&gt;=53000,"2 SERV","1 PEÇAS")</f>
        <v>2 SERV</v>
      </c>
      <c r="P4" s="60">
        <v>19</v>
      </c>
      <c r="Q4" s="1">
        <v>13</v>
      </c>
      <c r="R4" s="2"/>
      <c r="S4" s="2"/>
      <c r="T4" s="98" t="s">
        <v>10</v>
      </c>
      <c r="U4" s="58" t="s">
        <v>177</v>
      </c>
      <c r="Z4" s="58" t="s">
        <v>151</v>
      </c>
      <c r="AA4" t="s">
        <v>152</v>
      </c>
    </row>
    <row r="5" spans="1:27" x14ac:dyDescent="0.25">
      <c r="A5" s="99" t="s">
        <v>11</v>
      </c>
      <c r="B5" s="3" t="s">
        <v>151</v>
      </c>
      <c r="C5" s="174">
        <v>53200</v>
      </c>
      <c r="D5" s="45" t="s">
        <v>172</v>
      </c>
      <c r="E5" s="179" t="s">
        <v>180</v>
      </c>
      <c r="F5" s="26">
        <v>300</v>
      </c>
      <c r="G5" s="26">
        <v>579.5</v>
      </c>
      <c r="H5" s="46">
        <f>SUM(Tabela134568791011121324356789101112236457891011132345678911101223567891011131423465789101112[[#This Row],[VA]:[VR]])</f>
        <v>879.5</v>
      </c>
      <c r="I5" s="195" t="s">
        <v>179</v>
      </c>
      <c r="J5" s="53" t="s">
        <v>158</v>
      </c>
      <c r="K5" s="30" t="s">
        <v>180</v>
      </c>
      <c r="L5" s="31"/>
      <c r="M5" s="31">
        <v>228</v>
      </c>
      <c r="N5" s="65">
        <f>SUM(Tabela134568791011121324356789101112236457891011132345678911101223567891011131423465789101112[[#This Row],[VC]:[VT]])</f>
        <v>228</v>
      </c>
      <c r="O5" s="198" t="str">
        <f>IF(Tabela134568791011121324356789101112236457891011132345678911101223567891011131423465789101112[[#This Row],[CENTRO CUSTO]]&gt;=53000,"2 SERV","1 PEÇAS")</f>
        <v>2 SERV</v>
      </c>
      <c r="P5" s="61">
        <v>19</v>
      </c>
      <c r="Q5" s="3">
        <v>19</v>
      </c>
      <c r="R5" s="4"/>
      <c r="S5" s="4"/>
      <c r="T5" s="98"/>
      <c r="U5" s="58" t="s">
        <v>177</v>
      </c>
      <c r="Z5" s="58" t="s">
        <v>179</v>
      </c>
      <c r="AA5" s="58" t="s">
        <v>178</v>
      </c>
    </row>
    <row r="6" spans="1:27" x14ac:dyDescent="0.25">
      <c r="A6" s="99" t="s">
        <v>12</v>
      </c>
      <c r="B6" s="3" t="s">
        <v>151</v>
      </c>
      <c r="C6" s="174">
        <v>53200</v>
      </c>
      <c r="D6" s="45" t="s">
        <v>172</v>
      </c>
      <c r="E6" s="179" t="s">
        <v>180</v>
      </c>
      <c r="F6" s="26">
        <v>300</v>
      </c>
      <c r="G6" s="26">
        <v>579.5</v>
      </c>
      <c r="H6" s="46">
        <f>SUM(Tabela134568791011121324356789101112236457891011132345678911101223567891011131423465789101112[[#This Row],[VA]:[VR]])</f>
        <v>879.5</v>
      </c>
      <c r="I6" s="195" t="s">
        <v>179</v>
      </c>
      <c r="J6" s="53" t="s">
        <v>158</v>
      </c>
      <c r="K6" s="30" t="s">
        <v>180</v>
      </c>
      <c r="L6" s="31"/>
      <c r="M6" s="31"/>
      <c r="N6" s="65">
        <f>SUM(Tabela134568791011121324356789101112236457891011132345678911101223567891011131423465789101112[[#This Row],[VC]:[VT]])</f>
        <v>0</v>
      </c>
      <c r="O6" s="198" t="str">
        <f>IF(Tabela134568791011121324356789101112236457891011132345678911101223567891011131423465789101112[[#This Row],[CENTRO CUSTO]]&gt;=53000,"2 SERV","1 PEÇAS")</f>
        <v>2 SERV</v>
      </c>
      <c r="P6" s="61">
        <v>19</v>
      </c>
      <c r="Q6" s="3">
        <v>19</v>
      </c>
      <c r="R6" s="4"/>
      <c r="S6" s="4"/>
      <c r="T6" s="100"/>
      <c r="U6" s="58" t="s">
        <v>177</v>
      </c>
    </row>
    <row r="7" spans="1:27" x14ac:dyDescent="0.25">
      <c r="A7" s="99" t="s">
        <v>13</v>
      </c>
      <c r="B7" s="3" t="s">
        <v>151</v>
      </c>
      <c r="C7" s="38" t="s">
        <v>14</v>
      </c>
      <c r="D7" s="45" t="s">
        <v>173</v>
      </c>
      <c r="E7" s="179" t="s">
        <v>180</v>
      </c>
      <c r="F7" s="26">
        <v>300</v>
      </c>
      <c r="G7" s="26">
        <v>579.5</v>
      </c>
      <c r="H7" s="46">
        <f>SUM(Tabela134568791011121324356789101112236457891011132345678911101223567891011131423465789101112[[#This Row],[VA]:[VR]])</f>
        <v>879.5</v>
      </c>
      <c r="I7" s="195" t="s">
        <v>179</v>
      </c>
      <c r="J7" s="53" t="s">
        <v>183</v>
      </c>
      <c r="K7" s="30" t="s">
        <v>180</v>
      </c>
      <c r="L7" s="31"/>
      <c r="M7" s="31">
        <v>228</v>
      </c>
      <c r="N7" s="65">
        <f>SUM(Tabela134568791011121324356789101112236457891011132345678911101223567891011131423465789101112[[#This Row],[VC]:[VT]])</f>
        <v>228</v>
      </c>
      <c r="O7" s="198" t="str">
        <f>IF(Tabela134568791011121324356789101112236457891011132345678911101223567891011131423465789101112[[#This Row],[CENTRO CUSTO]]&gt;=53000,"2 SERV","1 PEÇAS")</f>
        <v>2 SERV</v>
      </c>
      <c r="P7" s="61">
        <v>19</v>
      </c>
      <c r="Q7" s="3">
        <v>19</v>
      </c>
      <c r="R7" s="4"/>
      <c r="S7" s="4"/>
      <c r="T7" s="101"/>
      <c r="U7" s="58" t="s">
        <v>177</v>
      </c>
    </row>
    <row r="8" spans="1:27" x14ac:dyDescent="0.25">
      <c r="A8" s="99" t="s">
        <v>15</v>
      </c>
      <c r="B8" s="3" t="s">
        <v>151</v>
      </c>
      <c r="C8" s="39">
        <v>53210</v>
      </c>
      <c r="D8" s="47" t="s">
        <v>172</v>
      </c>
      <c r="E8" s="180" t="s">
        <v>180</v>
      </c>
      <c r="F8" s="26">
        <v>300</v>
      </c>
      <c r="G8" s="26">
        <v>579.5</v>
      </c>
      <c r="H8" s="46">
        <f>SUM(Tabela134568791011121324356789101112236457891011132345678911101223567891011131423465789101112[[#This Row],[VA]:[VR]])</f>
        <v>879.5</v>
      </c>
      <c r="I8" s="195" t="s">
        <v>179</v>
      </c>
      <c r="J8" s="54" t="s">
        <v>158</v>
      </c>
      <c r="K8" s="32" t="s">
        <v>180</v>
      </c>
      <c r="L8" s="31"/>
      <c r="M8" s="31">
        <v>456</v>
      </c>
      <c r="N8" s="65">
        <f>SUM(Tabela134568791011121324356789101112236457891011132345678911101223567891011131423465789101112[[#This Row],[VC]:[VT]])</f>
        <v>456</v>
      </c>
      <c r="O8" s="198" t="str">
        <f>IF(Tabela134568791011121324356789101112236457891011132345678911101223567891011131423465789101112[[#This Row],[CENTRO CUSTO]]&gt;=53000,"2 SERV","1 PEÇAS")</f>
        <v>2 SERV</v>
      </c>
      <c r="P8" s="61">
        <v>19</v>
      </c>
      <c r="Q8" s="3">
        <v>19</v>
      </c>
      <c r="R8" s="4"/>
      <c r="S8" s="4"/>
      <c r="T8" s="100"/>
      <c r="U8" s="58" t="s">
        <v>177</v>
      </c>
    </row>
    <row r="9" spans="1:27" x14ac:dyDescent="0.25">
      <c r="A9" s="99" t="s">
        <v>16</v>
      </c>
      <c r="B9" s="3" t="s">
        <v>151</v>
      </c>
      <c r="C9" s="174">
        <v>51300</v>
      </c>
      <c r="D9" s="45" t="s">
        <v>174</v>
      </c>
      <c r="E9" s="179" t="s">
        <v>180</v>
      </c>
      <c r="F9" s="26"/>
      <c r="G9" s="26">
        <v>579.5</v>
      </c>
      <c r="H9" s="46">
        <f>SUM(Tabela134568791011121324356789101112236457891011132345678911101223567891011131423465789101112[[#This Row],[VA]:[VR]])</f>
        <v>579.5</v>
      </c>
      <c r="I9" s="195" t="s">
        <v>179</v>
      </c>
      <c r="J9" s="53" t="s">
        <v>160</v>
      </c>
      <c r="K9" s="30" t="s">
        <v>180</v>
      </c>
      <c r="L9" s="31"/>
      <c r="M9" s="31"/>
      <c r="N9" s="65">
        <f>SUM(Tabela134568791011121324356789101112236457891011132345678911101223567891011131423465789101112[[#This Row],[VC]:[VT]])</f>
        <v>0</v>
      </c>
      <c r="O9" s="198" t="str">
        <f>IF(Tabela134568791011121324356789101112236457891011132345678911101223567891011131423465789101112[[#This Row],[CENTRO CUSTO]]&gt;=53000,"2 SERV","1 PEÇAS")</f>
        <v>1 PEÇAS</v>
      </c>
      <c r="P9" s="61">
        <v>19</v>
      </c>
      <c r="Q9" s="3">
        <v>19</v>
      </c>
      <c r="R9" s="4"/>
      <c r="S9" s="4"/>
      <c r="T9" s="100"/>
      <c r="U9" s="58" t="s">
        <v>177</v>
      </c>
    </row>
    <row r="10" spans="1:27" x14ac:dyDescent="0.25">
      <c r="A10" s="99" t="s">
        <v>17</v>
      </c>
      <c r="B10" s="1" t="s">
        <v>151</v>
      </c>
      <c r="C10" s="39">
        <v>53200</v>
      </c>
      <c r="D10" s="47" t="s">
        <v>172</v>
      </c>
      <c r="E10" s="180" t="s">
        <v>180</v>
      </c>
      <c r="F10" s="26">
        <v>300</v>
      </c>
      <c r="G10" s="26">
        <v>579.5</v>
      </c>
      <c r="H10" s="46">
        <f>SUM(Tabela134568791011121324356789101112236457891011132345678911101223567891011131423465789101112[[#This Row],[VA]:[VR]])</f>
        <v>879.5</v>
      </c>
      <c r="I10" s="195" t="s">
        <v>179</v>
      </c>
      <c r="J10" s="54" t="s">
        <v>158</v>
      </c>
      <c r="K10" s="32" t="s">
        <v>180</v>
      </c>
      <c r="L10" s="31"/>
      <c r="M10" s="31">
        <v>218.5</v>
      </c>
      <c r="N10" s="65">
        <f>SUM(Tabela134568791011121324356789101112236457891011132345678911101223567891011131423465789101112[[#This Row],[VC]:[VT]])</f>
        <v>218.5</v>
      </c>
      <c r="O10" s="198" t="str">
        <f>IF(Tabela134568791011121324356789101112236457891011132345678911101223567891011131423465789101112[[#This Row],[CENTRO CUSTO]]&gt;=53000,"2 SERV","1 PEÇAS")</f>
        <v>2 SERV</v>
      </c>
      <c r="P10" s="61">
        <v>19</v>
      </c>
      <c r="Q10" s="3">
        <v>19</v>
      </c>
      <c r="R10" s="4"/>
      <c r="S10" s="4"/>
      <c r="T10" s="100"/>
      <c r="U10" s="58" t="s">
        <v>177</v>
      </c>
    </row>
    <row r="11" spans="1:27" ht="30" x14ac:dyDescent="0.25">
      <c r="A11" s="97" t="s">
        <v>18</v>
      </c>
      <c r="B11" s="3" t="s">
        <v>151</v>
      </c>
      <c r="C11" s="40">
        <v>53200</v>
      </c>
      <c r="D11" s="48" t="s">
        <v>172</v>
      </c>
      <c r="E11" s="181" t="s">
        <v>180</v>
      </c>
      <c r="F11" s="25">
        <v>300</v>
      </c>
      <c r="G11" s="25">
        <v>518.5</v>
      </c>
      <c r="H11" s="44">
        <f>SUM(Tabela134568791011121324356789101112236457891011132345678911101223567891011131423465789101112[[#This Row],[VA]:[VR]])</f>
        <v>818.5</v>
      </c>
      <c r="I11" s="195" t="s">
        <v>179</v>
      </c>
      <c r="J11" s="55" t="s">
        <v>158</v>
      </c>
      <c r="K11" s="33" t="s">
        <v>180</v>
      </c>
      <c r="L11" s="29"/>
      <c r="M11" s="29"/>
      <c r="N11" s="64">
        <f>SUM(Tabela134568791011121324356789101112236457891011132345678911101223567891011131423465789101112[[#This Row],[VC]:[VT]])</f>
        <v>0</v>
      </c>
      <c r="O11" s="199" t="str">
        <f>IF(Tabela134568791011121324356789101112236457891011132345678911101223567891011131423465789101112[[#This Row],[CENTRO CUSTO]]&gt;=53000,"2 SERV","1 PEÇAS")</f>
        <v>2 SERV</v>
      </c>
      <c r="P11" s="60">
        <v>19</v>
      </c>
      <c r="Q11" s="1">
        <v>17</v>
      </c>
      <c r="R11" s="2"/>
      <c r="S11" s="2"/>
      <c r="T11" s="98" t="s">
        <v>19</v>
      </c>
      <c r="U11" s="58" t="s">
        <v>177</v>
      </c>
    </row>
    <row r="12" spans="1:27" x14ac:dyDescent="0.25">
      <c r="A12" s="97" t="s">
        <v>20</v>
      </c>
      <c r="B12" s="3" t="s">
        <v>151</v>
      </c>
      <c r="C12" s="37">
        <v>51201</v>
      </c>
      <c r="D12" s="43" t="s">
        <v>173</v>
      </c>
      <c r="E12" s="178" t="s">
        <v>180</v>
      </c>
      <c r="F12" s="25"/>
      <c r="G12" s="25">
        <v>549</v>
      </c>
      <c r="H12" s="44">
        <f>SUM(Tabela134568791011121324356789101112236457891011132345678911101223567891011131423465789101112[[#This Row],[VA]:[VR]])</f>
        <v>549</v>
      </c>
      <c r="I12" s="195" t="s">
        <v>179</v>
      </c>
      <c r="J12" s="52" t="s">
        <v>183</v>
      </c>
      <c r="K12" s="28" t="s">
        <v>180</v>
      </c>
      <c r="L12" s="29">
        <v>300</v>
      </c>
      <c r="M12" s="29"/>
      <c r="N12" s="64">
        <f>SUM(Tabela134568791011121324356789101112236457891011132345678911101223567891011131423465789101112[[#This Row],[VC]:[VT]])</f>
        <v>300</v>
      </c>
      <c r="O12" s="199" t="str">
        <f>IF(Tabela134568791011121324356789101112236457891011132345678911101223567891011131423465789101112[[#This Row],[CENTRO CUSTO]]&gt;=53000,"2 SERV","1 PEÇAS")</f>
        <v>1 PEÇAS</v>
      </c>
      <c r="P12" s="60">
        <v>19</v>
      </c>
      <c r="Q12" s="1">
        <v>18</v>
      </c>
      <c r="R12" s="2"/>
      <c r="S12" s="2"/>
      <c r="T12" s="101" t="s">
        <v>21</v>
      </c>
      <c r="U12" s="58" t="s">
        <v>177</v>
      </c>
    </row>
    <row r="13" spans="1:27" x14ac:dyDescent="0.25">
      <c r="A13" s="97" t="s">
        <v>22</v>
      </c>
      <c r="B13" s="3" t="s">
        <v>151</v>
      </c>
      <c r="C13" s="37" t="s">
        <v>23</v>
      </c>
      <c r="D13" s="43" t="s">
        <v>174</v>
      </c>
      <c r="E13" s="178" t="s">
        <v>180</v>
      </c>
      <c r="F13" s="25">
        <v>300</v>
      </c>
      <c r="G13" s="25">
        <v>488</v>
      </c>
      <c r="H13" s="44">
        <f>SUM(Tabela134568791011121324356789101112236457891011132345678911101223567891011131423465789101112[[#This Row],[VA]:[VR]])</f>
        <v>788</v>
      </c>
      <c r="I13" s="195" t="s">
        <v>179</v>
      </c>
      <c r="J13" s="52" t="s">
        <v>160</v>
      </c>
      <c r="K13" s="28" t="s">
        <v>180</v>
      </c>
      <c r="L13" s="29"/>
      <c r="M13" s="29"/>
      <c r="N13" s="64">
        <f>SUM(Tabela134568791011121324356789101112236457891011132345678911101223567891011131423465789101112[[#This Row],[VC]:[VT]])</f>
        <v>0</v>
      </c>
      <c r="O13" s="199" t="str">
        <f>IF(Tabela134568791011121324356789101112236457891011132345678911101223567891011131423465789101112[[#This Row],[CENTRO CUSTO]]&gt;=53000,"2 SERV","1 PEÇAS")</f>
        <v>2 SERV</v>
      </c>
      <c r="P13" s="60">
        <v>19</v>
      </c>
      <c r="Q13" s="1">
        <v>16</v>
      </c>
      <c r="R13" s="2"/>
      <c r="S13" s="2"/>
      <c r="T13" s="98" t="s">
        <v>24</v>
      </c>
      <c r="U13" s="58" t="s">
        <v>177</v>
      </c>
    </row>
    <row r="14" spans="1:27" x14ac:dyDescent="0.25">
      <c r="A14" s="99" t="s">
        <v>25</v>
      </c>
      <c r="B14" s="3" t="s">
        <v>151</v>
      </c>
      <c r="C14" s="38">
        <v>53920</v>
      </c>
      <c r="D14" s="45" t="s">
        <v>173</v>
      </c>
      <c r="E14" s="179" t="s">
        <v>180</v>
      </c>
      <c r="F14" s="26"/>
      <c r="G14" s="26">
        <v>579.5</v>
      </c>
      <c r="H14" s="46">
        <f>SUM(Tabela134568791011121324356789101112236457891011132345678911101223567891011131423465789101112[[#This Row],[VA]:[VR]])</f>
        <v>579.5</v>
      </c>
      <c r="I14" s="195" t="s">
        <v>179</v>
      </c>
      <c r="J14" s="53" t="s">
        <v>183</v>
      </c>
      <c r="K14" s="30" t="s">
        <v>180</v>
      </c>
      <c r="L14" s="31">
        <v>300</v>
      </c>
      <c r="M14" s="31"/>
      <c r="N14" s="65">
        <f>SUM(Tabela134568791011121324356789101112236457891011132345678911101223567891011131423465789101112[[#This Row],[VC]:[VT]])</f>
        <v>300</v>
      </c>
      <c r="O14" s="198" t="str">
        <f>IF(Tabela134568791011121324356789101112236457891011132345678911101223567891011131423465789101112[[#This Row],[CENTRO CUSTO]]&gt;=53000,"2 SERV","1 PEÇAS")</f>
        <v>2 SERV</v>
      </c>
      <c r="P14" s="61">
        <v>19</v>
      </c>
      <c r="Q14" s="3">
        <v>19</v>
      </c>
      <c r="R14" s="4"/>
      <c r="S14" s="4"/>
      <c r="T14" s="100"/>
      <c r="U14" s="58" t="s">
        <v>177</v>
      </c>
    </row>
    <row r="15" spans="1:27" x14ac:dyDescent="0.25">
      <c r="A15" s="99" t="s">
        <v>26</v>
      </c>
      <c r="B15" s="3" t="s">
        <v>151</v>
      </c>
      <c r="C15" s="38">
        <v>53200</v>
      </c>
      <c r="D15" s="45" t="s">
        <v>172</v>
      </c>
      <c r="E15" s="179" t="s">
        <v>180</v>
      </c>
      <c r="F15" s="26">
        <v>300</v>
      </c>
      <c r="G15" s="26">
        <v>579.5</v>
      </c>
      <c r="H15" s="46">
        <f>SUM(Tabela134568791011121324356789101112236457891011132345678911101223567891011131423465789101112[[#This Row],[VA]:[VR]])</f>
        <v>879.5</v>
      </c>
      <c r="I15" s="195" t="s">
        <v>179</v>
      </c>
      <c r="J15" s="53" t="s">
        <v>158</v>
      </c>
      <c r="K15" s="30" t="s">
        <v>180</v>
      </c>
      <c r="L15" s="31"/>
      <c r="M15" s="31">
        <v>228</v>
      </c>
      <c r="N15" s="65">
        <f>SUM(Tabela134568791011121324356789101112236457891011132345678911101223567891011131423465789101112[[#This Row],[VC]:[VT]])</f>
        <v>228</v>
      </c>
      <c r="O15" s="198" t="str">
        <f>IF(Tabela134568791011121324356789101112236457891011132345678911101223567891011131423465789101112[[#This Row],[CENTRO CUSTO]]&gt;=53000,"2 SERV","1 PEÇAS")</f>
        <v>2 SERV</v>
      </c>
      <c r="P15" s="61">
        <v>19</v>
      </c>
      <c r="Q15" s="3">
        <v>19</v>
      </c>
      <c r="R15" s="4"/>
      <c r="S15" s="4"/>
      <c r="T15" s="98"/>
      <c r="U15" s="58" t="s">
        <v>177</v>
      </c>
    </row>
    <row r="16" spans="1:27" x14ac:dyDescent="0.25">
      <c r="A16" s="99" t="s">
        <v>27</v>
      </c>
      <c r="B16" s="1" t="s">
        <v>151</v>
      </c>
      <c r="C16" s="38">
        <v>51204</v>
      </c>
      <c r="D16" s="45" t="s">
        <v>174</v>
      </c>
      <c r="E16" s="179" t="s">
        <v>180</v>
      </c>
      <c r="F16" s="26"/>
      <c r="G16" s="26">
        <v>579.5</v>
      </c>
      <c r="H16" s="46">
        <f>SUM(Tabela134568791011121324356789101112236457891011132345678911101223567891011131423465789101112[[#This Row],[VA]:[VR]])</f>
        <v>579.5</v>
      </c>
      <c r="I16" s="195" t="s">
        <v>179</v>
      </c>
      <c r="J16" s="53" t="s">
        <v>160</v>
      </c>
      <c r="K16" s="30" t="s">
        <v>180</v>
      </c>
      <c r="L16" s="31"/>
      <c r="M16" s="31"/>
      <c r="N16" s="65">
        <f>SUM(Tabela134568791011121324356789101112236457891011132345678911101223567891011131423465789101112[[#This Row],[VC]:[VT]])</f>
        <v>0</v>
      </c>
      <c r="O16" s="198" t="str">
        <f>IF(Tabela134568791011121324356789101112236457891011132345678911101223567891011131423465789101112[[#This Row],[CENTRO CUSTO]]&gt;=53000,"2 SERV","1 PEÇAS")</f>
        <v>1 PEÇAS</v>
      </c>
      <c r="P16" s="61">
        <v>19</v>
      </c>
      <c r="Q16" s="3">
        <v>19</v>
      </c>
      <c r="R16" s="4"/>
      <c r="S16" s="4"/>
      <c r="T16" s="98"/>
      <c r="U16" s="58" t="s">
        <v>177</v>
      </c>
    </row>
    <row r="17" spans="1:21" x14ac:dyDescent="0.25">
      <c r="A17" s="99" t="s">
        <v>28</v>
      </c>
      <c r="B17" s="3" t="s">
        <v>151</v>
      </c>
      <c r="C17" s="38">
        <v>53200</v>
      </c>
      <c r="D17" s="45" t="s">
        <v>172</v>
      </c>
      <c r="E17" s="179" t="s">
        <v>180</v>
      </c>
      <c r="F17" s="26">
        <v>300</v>
      </c>
      <c r="G17" s="26">
        <v>579.5</v>
      </c>
      <c r="H17" s="46">
        <f>SUM(Tabela134568791011121324356789101112236457891011132345678911101223567891011131423465789101112[[#This Row],[VA]:[VR]])</f>
        <v>879.5</v>
      </c>
      <c r="I17" s="195" t="s">
        <v>179</v>
      </c>
      <c r="J17" s="53" t="s">
        <v>158</v>
      </c>
      <c r="K17" s="30" t="s">
        <v>180</v>
      </c>
      <c r="L17" s="31"/>
      <c r="M17" s="31"/>
      <c r="N17" s="65">
        <f>SUM(Tabela134568791011121324356789101112236457891011132345678911101223567891011131423465789101112[[#This Row],[VC]:[VT]])</f>
        <v>0</v>
      </c>
      <c r="O17" s="198" t="str">
        <f>IF(Tabela134568791011121324356789101112236457891011132345678911101223567891011131423465789101112[[#This Row],[CENTRO CUSTO]]&gt;=53000,"2 SERV","1 PEÇAS")</f>
        <v>2 SERV</v>
      </c>
      <c r="P17" s="61">
        <v>19</v>
      </c>
      <c r="Q17" s="3">
        <v>19</v>
      </c>
      <c r="R17" s="4"/>
      <c r="S17" s="4"/>
      <c r="T17" s="98"/>
      <c r="U17" s="58" t="s">
        <v>177</v>
      </c>
    </row>
    <row r="18" spans="1:21" x14ac:dyDescent="0.25">
      <c r="A18" s="99" t="s">
        <v>29</v>
      </c>
      <c r="B18" s="3" t="s">
        <v>151</v>
      </c>
      <c r="C18" s="38">
        <v>53100</v>
      </c>
      <c r="D18" s="45" t="s">
        <v>172</v>
      </c>
      <c r="E18" s="179" t="s">
        <v>180</v>
      </c>
      <c r="F18" s="26"/>
      <c r="G18" s="26">
        <v>579.5</v>
      </c>
      <c r="H18" s="46">
        <f>SUM(Tabela134568791011121324356789101112236457891011132345678911101223567891011131423465789101112[[#This Row],[VA]:[VR]])</f>
        <v>579.5</v>
      </c>
      <c r="I18" s="195" t="s">
        <v>179</v>
      </c>
      <c r="J18" s="53" t="s">
        <v>158</v>
      </c>
      <c r="K18" s="30" t="s">
        <v>180</v>
      </c>
      <c r="L18" s="31"/>
      <c r="M18" s="31"/>
      <c r="N18" s="65">
        <f>SUM(Tabela134568791011121324356789101112236457891011132345678911101223567891011131423465789101112[[#This Row],[VC]:[VT]])</f>
        <v>0</v>
      </c>
      <c r="O18" s="198" t="str">
        <f>IF(Tabela134568791011121324356789101112236457891011132345678911101223567891011131423465789101112[[#This Row],[CENTRO CUSTO]]&gt;=53000,"2 SERV","1 PEÇAS")</f>
        <v>2 SERV</v>
      </c>
      <c r="P18" s="61">
        <v>19</v>
      </c>
      <c r="Q18" s="3">
        <v>19</v>
      </c>
      <c r="R18" s="4"/>
      <c r="S18" s="4"/>
      <c r="T18" s="102"/>
      <c r="U18" s="58" t="s">
        <v>177</v>
      </c>
    </row>
    <row r="19" spans="1:21" x14ac:dyDescent="0.25">
      <c r="A19" s="103" t="s">
        <v>30</v>
      </c>
      <c r="B19" s="3" t="s">
        <v>151</v>
      </c>
      <c r="C19" s="39">
        <v>51600</v>
      </c>
      <c r="D19" s="47" t="s">
        <v>174</v>
      </c>
      <c r="E19" s="180" t="s">
        <v>180</v>
      </c>
      <c r="F19" s="26">
        <v>300</v>
      </c>
      <c r="G19" s="26">
        <v>579.5</v>
      </c>
      <c r="H19" s="46">
        <f>SUM(Tabela134568791011121324356789101112236457891011132345678911101223567891011131423465789101112[[#This Row],[VA]:[VR]])</f>
        <v>879.5</v>
      </c>
      <c r="I19" s="195" t="s">
        <v>179</v>
      </c>
      <c r="J19" s="54" t="s">
        <v>160</v>
      </c>
      <c r="K19" s="32" t="s">
        <v>180</v>
      </c>
      <c r="L19" s="31"/>
      <c r="M19" s="31"/>
      <c r="N19" s="65">
        <f>SUM(Tabela134568791011121324356789101112236457891011132345678911101223567891011131423465789101112[[#This Row],[VC]:[VT]])</f>
        <v>0</v>
      </c>
      <c r="O19" s="198" t="str">
        <f>IF(Tabela134568791011121324356789101112236457891011132345678911101223567891011131423465789101112[[#This Row],[CENTRO CUSTO]]&gt;=53000,"2 SERV","1 PEÇAS")</f>
        <v>1 PEÇAS</v>
      </c>
      <c r="P19" s="61">
        <v>19</v>
      </c>
      <c r="Q19" s="3">
        <v>19</v>
      </c>
      <c r="R19" s="4"/>
      <c r="S19" s="4"/>
      <c r="T19" s="98"/>
      <c r="U19" s="58" t="s">
        <v>177</v>
      </c>
    </row>
    <row r="20" spans="1:21" x14ac:dyDescent="0.25">
      <c r="A20" s="99" t="s">
        <v>31</v>
      </c>
      <c r="B20" s="3" t="s">
        <v>151</v>
      </c>
      <c r="C20" s="38">
        <v>53900</v>
      </c>
      <c r="D20" s="45" t="s">
        <v>173</v>
      </c>
      <c r="E20" s="179" t="s">
        <v>180</v>
      </c>
      <c r="F20" s="26"/>
      <c r="G20" s="26">
        <v>579.5</v>
      </c>
      <c r="H20" s="46">
        <f>SUM(Tabela134568791011121324356789101112236457891011132345678911101223567891011131423465789101112[[#This Row],[VA]:[VR]])</f>
        <v>579.5</v>
      </c>
      <c r="I20" s="195" t="s">
        <v>179</v>
      </c>
      <c r="J20" s="53" t="s">
        <v>183</v>
      </c>
      <c r="K20" s="30" t="s">
        <v>180</v>
      </c>
      <c r="L20" s="31"/>
      <c r="M20" s="31"/>
      <c r="N20" s="65">
        <f>SUM(Tabela134568791011121324356789101112236457891011132345678911101223567891011131423465789101112[[#This Row],[VC]:[VT]])</f>
        <v>0</v>
      </c>
      <c r="O20" s="198" t="str">
        <f>IF(Tabela134568791011121324356789101112236457891011132345678911101223567891011131423465789101112[[#This Row],[CENTRO CUSTO]]&gt;=53000,"2 SERV","1 PEÇAS")</f>
        <v>2 SERV</v>
      </c>
      <c r="P20" s="61">
        <v>19</v>
      </c>
      <c r="Q20" s="3">
        <v>19</v>
      </c>
      <c r="R20" s="4"/>
      <c r="S20" s="4"/>
      <c r="T20" s="98"/>
      <c r="U20" s="58" t="s">
        <v>177</v>
      </c>
    </row>
    <row r="21" spans="1:21" x14ac:dyDescent="0.25">
      <c r="A21" s="99" t="s">
        <v>32</v>
      </c>
      <c r="B21" s="3" t="s">
        <v>151</v>
      </c>
      <c r="C21" s="41">
        <v>51101</v>
      </c>
      <c r="D21" s="49" t="s">
        <v>174</v>
      </c>
      <c r="E21" s="182" t="s">
        <v>180</v>
      </c>
      <c r="F21" s="26"/>
      <c r="G21" s="26">
        <v>579.5</v>
      </c>
      <c r="H21" s="46">
        <f>SUM(Tabela134568791011121324356789101112236457891011132345678911101223567891011131423465789101112[[#This Row],[VA]:[VR]])</f>
        <v>579.5</v>
      </c>
      <c r="I21" s="195" t="s">
        <v>179</v>
      </c>
      <c r="J21" s="56" t="s">
        <v>160</v>
      </c>
      <c r="K21" s="34" t="s">
        <v>180</v>
      </c>
      <c r="L21" s="31"/>
      <c r="M21" s="31"/>
      <c r="N21" s="65">
        <f>SUM(Tabela134568791011121324356789101112236457891011132345678911101223567891011131423465789101112[[#This Row],[VC]:[VT]])</f>
        <v>0</v>
      </c>
      <c r="O21" s="198" t="str">
        <f>IF(Tabela134568791011121324356789101112236457891011132345678911101223567891011131423465789101112[[#This Row],[CENTRO CUSTO]]&gt;=53000,"2 SERV","1 PEÇAS")</f>
        <v>1 PEÇAS</v>
      </c>
      <c r="P21" s="61">
        <v>19</v>
      </c>
      <c r="Q21" s="3">
        <v>19</v>
      </c>
      <c r="R21" s="4"/>
      <c r="S21" s="4"/>
      <c r="T21" s="102"/>
      <c r="U21" s="58" t="s">
        <v>177</v>
      </c>
    </row>
    <row r="22" spans="1:21" x14ac:dyDescent="0.25">
      <c r="A22" s="99" t="s">
        <v>33</v>
      </c>
      <c r="B22" s="1" t="s">
        <v>151</v>
      </c>
      <c r="C22" s="38">
        <v>53200</v>
      </c>
      <c r="D22" s="45" t="s">
        <v>172</v>
      </c>
      <c r="E22" s="179" t="s">
        <v>180</v>
      </c>
      <c r="F22" s="26"/>
      <c r="G22" s="26">
        <v>579.5</v>
      </c>
      <c r="H22" s="46">
        <f>SUM(Tabela134568791011121324356789101112236457891011132345678911101223567891011131423465789101112[[#This Row],[VA]:[VR]])</f>
        <v>579.5</v>
      </c>
      <c r="I22" s="195" t="s">
        <v>179</v>
      </c>
      <c r="J22" s="53" t="s">
        <v>158</v>
      </c>
      <c r="K22" s="30" t="s">
        <v>180</v>
      </c>
      <c r="L22" s="31"/>
      <c r="M22" s="31"/>
      <c r="N22" s="65">
        <f>SUM(Tabela134568791011121324356789101112236457891011132345678911101223567891011131423465789101112[[#This Row],[VC]:[VT]])</f>
        <v>0</v>
      </c>
      <c r="O22" s="198" t="str">
        <f>IF(Tabela134568791011121324356789101112236457891011132345678911101223567891011131423465789101112[[#This Row],[CENTRO CUSTO]]&gt;=53000,"2 SERV","1 PEÇAS")</f>
        <v>2 SERV</v>
      </c>
      <c r="P22" s="61">
        <v>19</v>
      </c>
      <c r="Q22" s="3">
        <v>19</v>
      </c>
      <c r="R22" s="4"/>
      <c r="S22" s="4"/>
      <c r="T22" s="98"/>
      <c r="U22" s="58" t="s">
        <v>177</v>
      </c>
    </row>
    <row r="23" spans="1:21" ht="30" x14ac:dyDescent="0.25">
      <c r="A23" s="104" t="s">
        <v>34</v>
      </c>
      <c r="B23" s="3" t="s">
        <v>151</v>
      </c>
      <c r="C23" s="42">
        <v>51101</v>
      </c>
      <c r="D23" s="50" t="s">
        <v>174</v>
      </c>
      <c r="E23" s="183" t="s">
        <v>180</v>
      </c>
      <c r="F23" s="27"/>
      <c r="G23" s="27">
        <v>335.5</v>
      </c>
      <c r="H23" s="51">
        <f>SUM(Tabela134568791011121324356789101112236457891011132345678911101223567891011131423465789101112[[#This Row],[VA]:[VR]])</f>
        <v>335.5</v>
      </c>
      <c r="I23" s="195" t="s">
        <v>179</v>
      </c>
      <c r="J23" s="57" t="s">
        <v>160</v>
      </c>
      <c r="K23" s="35" t="s">
        <v>180</v>
      </c>
      <c r="L23" s="36"/>
      <c r="M23" s="36"/>
      <c r="N23" s="66">
        <f>SUM(Tabela134568791011121324356789101112236457891011132345678911101223567891011131423465789101112[[#This Row],[VC]:[VT]])</f>
        <v>0</v>
      </c>
      <c r="O23" s="200" t="str">
        <f>IF(Tabela134568791011121324356789101112236457891011132345678911101223567891011131423465789101112[[#This Row],[CENTRO CUSTO]]&gt;=53000,"2 SERV","1 PEÇAS")</f>
        <v>1 PEÇAS</v>
      </c>
      <c r="P23" s="62">
        <v>19</v>
      </c>
      <c r="Q23" s="5">
        <v>11</v>
      </c>
      <c r="R23" s="6"/>
      <c r="S23" s="6"/>
      <c r="T23" s="105" t="s">
        <v>35</v>
      </c>
      <c r="U23" s="58" t="s">
        <v>177</v>
      </c>
    </row>
    <row r="24" spans="1:21" x14ac:dyDescent="0.25">
      <c r="A24" s="99" t="s">
        <v>36</v>
      </c>
      <c r="B24" s="3" t="s">
        <v>151</v>
      </c>
      <c r="C24" s="38">
        <v>51105</v>
      </c>
      <c r="D24" s="45" t="s">
        <v>174</v>
      </c>
      <c r="E24" s="179" t="s">
        <v>180</v>
      </c>
      <c r="F24" s="26"/>
      <c r="G24" s="26">
        <v>579.5</v>
      </c>
      <c r="H24" s="46">
        <f>SUM(Tabela134568791011121324356789101112236457891011132345678911101223567891011131423465789101112[[#This Row],[VA]:[VR]])</f>
        <v>579.5</v>
      </c>
      <c r="I24" s="195" t="s">
        <v>179</v>
      </c>
      <c r="J24" s="53" t="s">
        <v>160</v>
      </c>
      <c r="K24" s="30" t="s">
        <v>180</v>
      </c>
      <c r="L24" s="31"/>
      <c r="M24" s="31">
        <v>228</v>
      </c>
      <c r="N24" s="65">
        <f>SUM(Tabela134568791011121324356789101112236457891011132345678911101223567891011131423465789101112[[#This Row],[VC]:[VT]])</f>
        <v>228</v>
      </c>
      <c r="O24" s="198" t="str">
        <f>IF(Tabela134568791011121324356789101112236457891011132345678911101223567891011131423465789101112[[#This Row],[CENTRO CUSTO]]&gt;=53000,"2 SERV","1 PEÇAS")</f>
        <v>1 PEÇAS</v>
      </c>
      <c r="P24" s="61">
        <v>19</v>
      </c>
      <c r="Q24" s="3">
        <v>19</v>
      </c>
      <c r="R24" s="4"/>
      <c r="S24" s="4"/>
      <c r="T24" s="102"/>
      <c r="U24" s="58" t="s">
        <v>177</v>
      </c>
    </row>
    <row r="25" spans="1:21" x14ac:dyDescent="0.25">
      <c r="A25" s="97" t="s">
        <v>37</v>
      </c>
      <c r="B25" s="3" t="s">
        <v>151</v>
      </c>
      <c r="C25" s="37">
        <v>53210</v>
      </c>
      <c r="D25" s="43" t="s">
        <v>172</v>
      </c>
      <c r="E25" s="178" t="s">
        <v>180</v>
      </c>
      <c r="F25" s="25">
        <v>300</v>
      </c>
      <c r="G25" s="25">
        <v>549</v>
      </c>
      <c r="H25" s="44">
        <f>SUM(Tabela134568791011121324356789101112236457891011132345678911101223567891011131423465789101112[[#This Row],[VA]:[VR]])</f>
        <v>849</v>
      </c>
      <c r="I25" s="195" t="s">
        <v>179</v>
      </c>
      <c r="J25" s="52" t="s">
        <v>158</v>
      </c>
      <c r="K25" s="28" t="s">
        <v>180</v>
      </c>
      <c r="L25" s="29"/>
      <c r="M25" s="29"/>
      <c r="N25" s="64">
        <f>SUM(Tabela134568791011121324356789101112236457891011132345678911101223567891011131423465789101112[[#This Row],[VC]:[VT]])</f>
        <v>0</v>
      </c>
      <c r="O25" s="199" t="str">
        <f>IF(Tabela134568791011121324356789101112236457891011132345678911101223567891011131423465789101112[[#This Row],[CENTRO CUSTO]]&gt;=53000,"2 SERV","1 PEÇAS")</f>
        <v>2 SERV</v>
      </c>
      <c r="P25" s="60">
        <v>19</v>
      </c>
      <c r="Q25" s="1">
        <v>18</v>
      </c>
      <c r="R25" s="2"/>
      <c r="S25" s="2"/>
      <c r="T25" s="98" t="s">
        <v>38</v>
      </c>
      <c r="U25" s="58" t="s">
        <v>177</v>
      </c>
    </row>
    <row r="26" spans="1:21" x14ac:dyDescent="0.25">
      <c r="A26" s="99" t="s">
        <v>39</v>
      </c>
      <c r="B26" s="3" t="s">
        <v>151</v>
      </c>
      <c r="C26" s="38">
        <v>51113</v>
      </c>
      <c r="D26" s="45" t="s">
        <v>174</v>
      </c>
      <c r="E26" s="179" t="s">
        <v>180</v>
      </c>
      <c r="F26" s="26"/>
      <c r="G26" s="26">
        <v>579.5</v>
      </c>
      <c r="H26" s="46">
        <f>SUM(Tabela134568791011121324356789101112236457891011132345678911101223567891011131423465789101112[[#This Row],[VA]:[VR]])</f>
        <v>579.5</v>
      </c>
      <c r="I26" s="195" t="s">
        <v>179</v>
      </c>
      <c r="J26" s="53" t="s">
        <v>160</v>
      </c>
      <c r="K26" s="30" t="s">
        <v>180</v>
      </c>
      <c r="L26" s="31">
        <v>300</v>
      </c>
      <c r="M26" s="31"/>
      <c r="N26" s="65">
        <f>SUM(Tabela134568791011121324356789101112236457891011132345678911101223567891011131423465789101112[[#This Row],[VC]:[VT]])</f>
        <v>300</v>
      </c>
      <c r="O26" s="198" t="str">
        <f>IF(Tabela134568791011121324356789101112236457891011132345678911101223567891011131423465789101112[[#This Row],[CENTRO CUSTO]]&gt;=53000,"2 SERV","1 PEÇAS")</f>
        <v>1 PEÇAS</v>
      </c>
      <c r="P26" s="61">
        <v>19</v>
      </c>
      <c r="Q26" s="3">
        <v>19</v>
      </c>
      <c r="R26" s="4"/>
      <c r="S26" s="4"/>
      <c r="T26" s="100"/>
      <c r="U26" s="58" t="s">
        <v>177</v>
      </c>
    </row>
    <row r="27" spans="1:21" ht="15.75" thickBot="1" x14ac:dyDescent="0.3">
      <c r="A27" s="106" t="s">
        <v>40</v>
      </c>
      <c r="B27" s="107" t="s">
        <v>151</v>
      </c>
      <c r="C27" s="108">
        <v>53210</v>
      </c>
      <c r="D27" s="109" t="s">
        <v>172</v>
      </c>
      <c r="E27" s="184" t="s">
        <v>180</v>
      </c>
      <c r="F27" s="110"/>
      <c r="G27" s="110">
        <v>305</v>
      </c>
      <c r="H27" s="111">
        <f>SUM(Tabela134568791011121324356789101112236457891011132345678911101223567891011131423465789101112[[#This Row],[VA]:[VR]])</f>
        <v>305</v>
      </c>
      <c r="I27" s="195" t="s">
        <v>179</v>
      </c>
      <c r="J27" s="112" t="s">
        <v>158</v>
      </c>
      <c r="K27" s="113" t="s">
        <v>180</v>
      </c>
      <c r="L27" s="114"/>
      <c r="M27" s="114"/>
      <c r="N27" s="115">
        <f>SUM(Tabela134568791011121324356789101112236457891011132345678911101223567891011131423465789101112[[#This Row],[VC]:[VT]])</f>
        <v>0</v>
      </c>
      <c r="O27" s="201" t="str">
        <f>IF(Tabela134568791011121324356789101112236457891011132345678911101223567891011131423465789101112[[#This Row],[CENTRO CUSTO]]&gt;=53000,"2 SERV","1 PEÇAS")</f>
        <v>2 SERV</v>
      </c>
      <c r="P27" s="116">
        <v>19</v>
      </c>
      <c r="Q27" s="117">
        <v>10</v>
      </c>
      <c r="R27" s="118"/>
      <c r="S27" s="118"/>
      <c r="T27" s="119" t="s">
        <v>41</v>
      </c>
      <c r="U27" s="58" t="s">
        <v>177</v>
      </c>
    </row>
    <row r="28" spans="1:21" x14ac:dyDescent="0.25">
      <c r="A28" s="82"/>
      <c r="B28" s="83"/>
      <c r="C28" s="83"/>
      <c r="D28" s="84"/>
      <c r="E28" s="185"/>
      <c r="F28" s="85"/>
      <c r="G28" s="85"/>
      <c r="H28" s="86">
        <f>SUM(H4:H27)</f>
        <v>16593</v>
      </c>
      <c r="I28" s="86"/>
      <c r="J28" s="86"/>
      <c r="K28" s="170" t="s">
        <v>176</v>
      </c>
      <c r="L28" s="170">
        <f>SUM(Tabela134568791011121324356789101112236457891011132345678911101223567891011131423465789101112[[#This Row],[TOTAL VR/VA]]+Tabela134568791011121324356789101112236457891011132345678911101223567891011131423465789101112[[#This Row],[TOTAL VR/VA6]])</f>
        <v>19209.5</v>
      </c>
      <c r="M28" s="86"/>
      <c r="N28" s="86">
        <f>SUM(N4:N27)</f>
        <v>2616.5</v>
      </c>
      <c r="O28" s="86"/>
      <c r="P28" s="83"/>
      <c r="Q28" s="83"/>
      <c r="R28" s="87"/>
      <c r="S28" s="86"/>
      <c r="T28" s="88"/>
    </row>
    <row r="29" spans="1:21" x14ac:dyDescent="0.25">
      <c r="A29" s="82"/>
      <c r="B29" s="83"/>
      <c r="C29" s="83"/>
      <c r="D29" s="84"/>
      <c r="E29" s="185"/>
      <c r="F29" s="85"/>
      <c r="G29" s="85"/>
      <c r="H29" s="86"/>
      <c r="I29" s="86"/>
      <c r="J29" s="86"/>
      <c r="K29" s="86"/>
      <c r="L29" s="86"/>
      <c r="M29" s="86"/>
      <c r="N29" s="86"/>
      <c r="O29" s="86"/>
      <c r="P29" s="83"/>
      <c r="Q29" s="83"/>
      <c r="R29" s="87"/>
      <c r="S29" s="86"/>
      <c r="T29" s="88"/>
    </row>
    <row r="30" spans="1:21" ht="15.75" thickBot="1" x14ac:dyDescent="0.3">
      <c r="A30" s="120"/>
      <c r="B30" s="120"/>
      <c r="C30" s="120"/>
      <c r="D30" s="121"/>
      <c r="E30" s="186"/>
      <c r="F30" s="121"/>
      <c r="G30" s="121"/>
      <c r="H30" s="121"/>
      <c r="I30" s="122"/>
      <c r="J30" s="122"/>
      <c r="K30" s="122"/>
      <c r="L30" s="122"/>
      <c r="M30" s="122"/>
      <c r="N30" s="122"/>
      <c r="O30" s="196"/>
      <c r="P30" s="123"/>
      <c r="Q30" s="123"/>
      <c r="R30" s="123"/>
      <c r="S30" s="123"/>
      <c r="T30" s="123"/>
    </row>
    <row r="31" spans="1:21" ht="15.75" thickBot="1" x14ac:dyDescent="0.3">
      <c r="A31" s="92" t="s">
        <v>0</v>
      </c>
      <c r="B31" s="93" t="s">
        <v>161</v>
      </c>
      <c r="C31" s="94" t="s">
        <v>1</v>
      </c>
      <c r="D31" s="92"/>
      <c r="E31" s="187" t="s">
        <v>162</v>
      </c>
      <c r="F31" s="93" t="s">
        <v>6</v>
      </c>
      <c r="G31" s="93" t="s">
        <v>7</v>
      </c>
      <c r="H31" s="95" t="s">
        <v>166</v>
      </c>
      <c r="I31" s="81" t="s">
        <v>171</v>
      </c>
      <c r="J31" s="208" t="s">
        <v>167</v>
      </c>
      <c r="K31" s="209" t="s">
        <v>169</v>
      </c>
      <c r="L31" s="209" t="s">
        <v>5</v>
      </c>
      <c r="M31" s="209" t="s">
        <v>4</v>
      </c>
      <c r="N31" s="210" t="s">
        <v>168</v>
      </c>
      <c r="O31" s="211" t="str">
        <f>IF(Tabela134568791011121324356789101112236457891011132345678911101223567891011131423465789101112[[#This Row],[CENTRO CUSTO]]&gt;=53000,"2 SERV","1 PEÇAS")</f>
        <v>2 SERV</v>
      </c>
      <c r="P31" s="212" t="s">
        <v>2</v>
      </c>
      <c r="Q31" s="96" t="s">
        <v>3</v>
      </c>
      <c r="R31" s="93" t="s">
        <v>164</v>
      </c>
      <c r="S31" s="93" t="s">
        <v>165</v>
      </c>
      <c r="T31" s="95" t="s">
        <v>8</v>
      </c>
    </row>
    <row r="32" spans="1:21" x14ac:dyDescent="0.25">
      <c r="A32" s="124" t="s">
        <v>43</v>
      </c>
      <c r="B32" s="7" t="s">
        <v>151</v>
      </c>
      <c r="C32" s="73">
        <v>53216</v>
      </c>
      <c r="D32" s="152" t="s">
        <v>172</v>
      </c>
      <c r="E32" s="188" t="s">
        <v>180</v>
      </c>
      <c r="F32" s="74">
        <v>300</v>
      </c>
      <c r="G32" s="75">
        <v>701.5</v>
      </c>
      <c r="H32" s="153">
        <f>SUM(Tabela134568791011121324356789101112236457891011132345678911101223567891011131423465789101112[[#This Row],[VA]:[VR]])</f>
        <v>1001.5</v>
      </c>
      <c r="I32" s="63" t="s">
        <v>179</v>
      </c>
      <c r="J32" s="205" t="s">
        <v>158</v>
      </c>
      <c r="K32" s="205" t="s">
        <v>180</v>
      </c>
      <c r="L32" s="205"/>
      <c r="M32" s="205"/>
      <c r="N32" s="206">
        <f>SUM(Tabela134568791011121324356789101112236457891011132345678911101223567891011131423465789101112[[#This Row],[VC]:[VT]])</f>
        <v>0</v>
      </c>
      <c r="O32" s="202" t="str">
        <f>IF(Tabela134568791011121324356789101112236457891011132345678911101223567891011131423465789101112[[#This Row],[CENTRO CUSTO]]&gt;=53000,"2 SERV","1 PEÇAS")</f>
        <v>2 SERV</v>
      </c>
      <c r="P32" s="207">
        <v>23</v>
      </c>
      <c r="Q32" s="7">
        <v>23</v>
      </c>
      <c r="R32" s="8"/>
      <c r="S32" s="9"/>
      <c r="T32" s="125"/>
    </row>
    <row r="33" spans="1:20" x14ac:dyDescent="0.25">
      <c r="A33" s="124" t="s">
        <v>44</v>
      </c>
      <c r="B33" s="7" t="s">
        <v>151</v>
      </c>
      <c r="C33" s="73">
        <v>51106</v>
      </c>
      <c r="D33" s="152" t="s">
        <v>174</v>
      </c>
      <c r="E33" s="188" t="s">
        <v>180</v>
      </c>
      <c r="F33" s="74"/>
      <c r="G33" s="75">
        <v>579.5</v>
      </c>
      <c r="H33" s="153">
        <f>SUM(Tabela134568791011121324356789101112236457891011132345678911101223567891011131423465789101112[[#This Row],[VA]:[VR]])</f>
        <v>579.5</v>
      </c>
      <c r="I33" s="63" t="s">
        <v>179</v>
      </c>
      <c r="J33" s="80" t="s">
        <v>160</v>
      </c>
      <c r="K33" s="80" t="s">
        <v>180</v>
      </c>
      <c r="L33" s="80"/>
      <c r="M33" s="80"/>
      <c r="N33" s="168">
        <f>SUM(Tabela134568791011121324356789101112236457891011132345678911101223567891011131423465789101112[[#This Row],[VC]:[VT]])</f>
        <v>0</v>
      </c>
      <c r="O33" s="203" t="str">
        <f>IF(Tabela134568791011121324356789101112236457891011132345678911101223567891011131423465789101112[[#This Row],[CENTRO CUSTO]]&gt;=53000,"2 SERV","1 PEÇAS")</f>
        <v>1 PEÇAS</v>
      </c>
      <c r="P33" s="163">
        <v>19</v>
      </c>
      <c r="Q33" s="7">
        <v>19</v>
      </c>
      <c r="R33" s="8"/>
      <c r="S33" s="9"/>
      <c r="T33" s="126"/>
    </row>
    <row r="34" spans="1:20" x14ac:dyDescent="0.25">
      <c r="A34" s="124" t="s">
        <v>45</v>
      </c>
      <c r="B34" s="7" t="s">
        <v>151</v>
      </c>
      <c r="C34" s="73">
        <v>53215</v>
      </c>
      <c r="D34" s="152" t="s">
        <v>172</v>
      </c>
      <c r="E34" s="188" t="s">
        <v>180</v>
      </c>
      <c r="F34" s="74">
        <v>300</v>
      </c>
      <c r="G34" s="75">
        <v>579.5</v>
      </c>
      <c r="H34" s="153">
        <f>SUM(Tabela134568791011121324356789101112236457891011132345678911101223567891011131423465789101112[[#This Row],[VA]:[VR]])</f>
        <v>879.5</v>
      </c>
      <c r="I34" s="63" t="s">
        <v>179</v>
      </c>
      <c r="J34" s="80" t="s">
        <v>158</v>
      </c>
      <c r="K34" s="80" t="s">
        <v>180</v>
      </c>
      <c r="L34" s="80"/>
      <c r="M34" s="80"/>
      <c r="N34" s="168">
        <f>SUM(Tabela134568791011121324356789101112236457891011132345678911101223567891011131423465789101112[[#This Row],[VC]:[VT]])</f>
        <v>0</v>
      </c>
      <c r="O34" s="203" t="str">
        <f>IF(Tabela134568791011121324356789101112236457891011132345678911101223567891011131423465789101112[[#This Row],[CENTRO CUSTO]]&gt;=53000,"2 SERV","1 PEÇAS")</f>
        <v>2 SERV</v>
      </c>
      <c r="P34" s="163">
        <v>19</v>
      </c>
      <c r="Q34" s="7">
        <v>19</v>
      </c>
      <c r="R34" s="8"/>
      <c r="S34" s="9"/>
      <c r="T34" s="126"/>
    </row>
    <row r="35" spans="1:20" x14ac:dyDescent="0.25">
      <c r="A35" s="124" t="s">
        <v>46</v>
      </c>
      <c r="B35" s="7" t="s">
        <v>151</v>
      </c>
      <c r="C35" s="73">
        <v>53210</v>
      </c>
      <c r="D35" s="152" t="s">
        <v>172</v>
      </c>
      <c r="E35" s="188" t="s">
        <v>180</v>
      </c>
      <c r="F35" s="74"/>
      <c r="G35" s="75">
        <v>579.5</v>
      </c>
      <c r="H35" s="153">
        <f>SUM(Tabela134568791011121324356789101112236457891011132345678911101223567891011131423465789101112[[#This Row],[VA]:[VR]])</f>
        <v>579.5</v>
      </c>
      <c r="I35" s="63" t="s">
        <v>179</v>
      </c>
      <c r="J35" s="80" t="s">
        <v>158</v>
      </c>
      <c r="K35" s="80" t="s">
        <v>180</v>
      </c>
      <c r="L35" s="80"/>
      <c r="M35" s="80"/>
      <c r="N35" s="168">
        <f>SUM(Tabela134568791011121324356789101112236457891011132345678911101223567891011131423465789101112[[#This Row],[VC]:[VT]])</f>
        <v>0</v>
      </c>
      <c r="O35" s="203" t="str">
        <f>IF(Tabela134568791011121324356789101112236457891011132345678911101223567891011131423465789101112[[#This Row],[CENTRO CUSTO]]&gt;=53000,"2 SERV","1 PEÇAS")</f>
        <v>2 SERV</v>
      </c>
      <c r="P35" s="163">
        <v>19</v>
      </c>
      <c r="Q35" s="7">
        <v>19</v>
      </c>
      <c r="R35" s="8"/>
      <c r="S35" s="9"/>
      <c r="T35" s="127"/>
    </row>
    <row r="36" spans="1:20" x14ac:dyDescent="0.25">
      <c r="A36" s="124" t="s">
        <v>47</v>
      </c>
      <c r="B36" s="7" t="s">
        <v>151</v>
      </c>
      <c r="C36" s="145">
        <v>52100</v>
      </c>
      <c r="D36" s="154" t="s">
        <v>173</v>
      </c>
      <c r="E36" s="189" t="s">
        <v>180</v>
      </c>
      <c r="F36" s="74"/>
      <c r="G36" s="75">
        <v>579.5</v>
      </c>
      <c r="H36" s="153">
        <f>SUM(Tabela134568791011121324356789101112236457891011132345678911101223567891011131423465789101112[[#This Row],[VA]:[VR]])</f>
        <v>579.5</v>
      </c>
      <c r="I36" s="63" t="s">
        <v>179</v>
      </c>
      <c r="J36" s="80" t="s">
        <v>183</v>
      </c>
      <c r="K36" s="80" t="s">
        <v>180</v>
      </c>
      <c r="L36" s="80"/>
      <c r="M36" s="80"/>
      <c r="N36" s="168">
        <f>SUM(Tabela134568791011121324356789101112236457891011132345678911101223567891011131423465789101112[[#This Row],[VC]:[VT]])</f>
        <v>0</v>
      </c>
      <c r="O36" s="203" t="str">
        <f>IF(Tabela134568791011121324356789101112236457891011132345678911101223567891011131423465789101112[[#This Row],[CENTRO CUSTO]]&gt;=53000,"2 SERV","1 PEÇAS")</f>
        <v>1 PEÇAS</v>
      </c>
      <c r="P36" s="163">
        <v>19</v>
      </c>
      <c r="Q36" s="7">
        <v>19</v>
      </c>
      <c r="R36" s="8"/>
      <c r="S36" s="9"/>
      <c r="T36" s="125"/>
    </row>
    <row r="37" spans="1:20" x14ac:dyDescent="0.25">
      <c r="A37" s="124" t="s">
        <v>48</v>
      </c>
      <c r="B37" s="7" t="s">
        <v>151</v>
      </c>
      <c r="C37" s="145">
        <v>52100</v>
      </c>
      <c r="D37" s="154" t="s">
        <v>173</v>
      </c>
      <c r="E37" s="189" t="s">
        <v>180</v>
      </c>
      <c r="F37" s="74">
        <v>300</v>
      </c>
      <c r="G37" s="75">
        <v>579.5</v>
      </c>
      <c r="H37" s="153">
        <f>SUM(Tabela134568791011121324356789101112236457891011132345678911101223567891011131423465789101112[[#This Row],[VA]:[VR]])</f>
        <v>879.5</v>
      </c>
      <c r="I37" s="63" t="s">
        <v>179</v>
      </c>
      <c r="J37" s="80" t="s">
        <v>183</v>
      </c>
      <c r="K37" s="80" t="s">
        <v>180</v>
      </c>
      <c r="L37" s="80"/>
      <c r="M37" s="80"/>
      <c r="N37" s="168">
        <f>SUM(Tabela134568791011121324356789101112236457891011132345678911101223567891011131423465789101112[[#This Row],[VC]:[VT]])</f>
        <v>0</v>
      </c>
      <c r="O37" s="203" t="str">
        <f>IF(Tabela134568791011121324356789101112236457891011132345678911101223567891011131423465789101112[[#This Row],[CENTRO CUSTO]]&gt;=53000,"2 SERV","1 PEÇAS")</f>
        <v>1 PEÇAS</v>
      </c>
      <c r="P37" s="163">
        <v>19</v>
      </c>
      <c r="Q37" s="7">
        <v>19</v>
      </c>
      <c r="R37" s="8"/>
      <c r="S37" s="9"/>
      <c r="T37" s="128"/>
    </row>
    <row r="38" spans="1:20" x14ac:dyDescent="0.25">
      <c r="A38" s="124" t="s">
        <v>49</v>
      </c>
      <c r="B38" s="7" t="s">
        <v>151</v>
      </c>
      <c r="C38" s="73">
        <v>53300</v>
      </c>
      <c r="D38" s="152" t="s">
        <v>172</v>
      </c>
      <c r="E38" s="188" t="s">
        <v>181</v>
      </c>
      <c r="F38" s="74">
        <v>300</v>
      </c>
      <c r="G38" s="75">
        <v>579.5</v>
      </c>
      <c r="H38" s="153">
        <f>SUM(Tabela134568791011121324356789101112236457891011132345678911101223567891011131423465789101112[[#This Row],[VA]:[VR]])</f>
        <v>879.5</v>
      </c>
      <c r="I38" s="63" t="s">
        <v>179</v>
      </c>
      <c r="J38" s="80" t="s">
        <v>158</v>
      </c>
      <c r="K38" s="80" t="s">
        <v>181</v>
      </c>
      <c r="L38" s="80"/>
      <c r="M38" s="80"/>
      <c r="N38" s="168">
        <f>SUM(Tabela134568791011121324356789101112236457891011132345678911101223567891011131423465789101112[[#This Row],[VC]:[VT]])</f>
        <v>0</v>
      </c>
      <c r="O38" s="203" t="str">
        <f>IF(Tabela134568791011121324356789101112236457891011132345678911101223567891011131423465789101112[[#This Row],[CENTRO CUSTO]]&gt;=53000,"2 SERV","1 PEÇAS")</f>
        <v>2 SERV</v>
      </c>
      <c r="P38" s="163">
        <v>19</v>
      </c>
      <c r="Q38" s="7">
        <v>19</v>
      </c>
      <c r="R38" s="8"/>
      <c r="S38" s="9"/>
      <c r="T38" s="125"/>
    </row>
    <row r="39" spans="1:20" x14ac:dyDescent="0.25">
      <c r="A39" s="124" t="s">
        <v>50</v>
      </c>
      <c r="B39" s="7" t="s">
        <v>151</v>
      </c>
      <c r="C39" s="73">
        <v>51113</v>
      </c>
      <c r="D39" s="152" t="s">
        <v>174</v>
      </c>
      <c r="E39" s="188" t="s">
        <v>180</v>
      </c>
      <c r="F39" s="74"/>
      <c r="G39" s="75">
        <v>579.5</v>
      </c>
      <c r="H39" s="153">
        <f>SUM(Tabela134568791011121324356789101112236457891011132345678911101223567891011131423465789101112[[#This Row],[VA]:[VR]])</f>
        <v>579.5</v>
      </c>
      <c r="I39" s="63" t="s">
        <v>179</v>
      </c>
      <c r="J39" s="80" t="s">
        <v>160</v>
      </c>
      <c r="K39" s="80" t="s">
        <v>180</v>
      </c>
      <c r="L39" s="80"/>
      <c r="M39" s="80"/>
      <c r="N39" s="168">
        <f>SUM(Tabela134568791011121324356789101112236457891011132345678911101223567891011131423465789101112[[#This Row],[VC]:[VT]])</f>
        <v>0</v>
      </c>
      <c r="O39" s="203" t="str">
        <f>IF(Tabela134568791011121324356789101112236457891011132345678911101223567891011131423465789101112[[#This Row],[CENTRO CUSTO]]&gt;=53000,"2 SERV","1 PEÇAS")</f>
        <v>1 PEÇAS</v>
      </c>
      <c r="P39" s="163">
        <v>19</v>
      </c>
      <c r="Q39" s="7">
        <v>19</v>
      </c>
      <c r="R39" s="8"/>
      <c r="S39" s="9"/>
      <c r="T39" s="128"/>
    </row>
    <row r="40" spans="1:20" x14ac:dyDescent="0.25">
      <c r="A40" s="124" t="s">
        <v>51</v>
      </c>
      <c r="B40" s="7" t="s">
        <v>151</v>
      </c>
      <c r="C40" s="73">
        <v>52201</v>
      </c>
      <c r="D40" s="152" t="s">
        <v>173</v>
      </c>
      <c r="E40" s="188" t="s">
        <v>180</v>
      </c>
      <c r="F40" s="74">
        <v>300</v>
      </c>
      <c r="G40" s="75">
        <v>579.5</v>
      </c>
      <c r="H40" s="153">
        <f>SUM(Tabela134568791011121324356789101112236457891011132345678911101223567891011131423465789101112[[#This Row],[VA]:[VR]])</f>
        <v>879.5</v>
      </c>
      <c r="I40" s="63" t="s">
        <v>179</v>
      </c>
      <c r="J40" s="80" t="s">
        <v>183</v>
      </c>
      <c r="K40" s="80" t="s">
        <v>180</v>
      </c>
      <c r="L40" s="80"/>
      <c r="M40" s="80">
        <v>228</v>
      </c>
      <c r="N40" s="168">
        <f>SUM(Tabela134568791011121324356789101112236457891011132345678911101223567891011131423465789101112[[#This Row],[VC]:[VT]])</f>
        <v>228</v>
      </c>
      <c r="O40" s="203" t="str">
        <f>IF(Tabela134568791011121324356789101112236457891011132345678911101223567891011131423465789101112[[#This Row],[CENTRO CUSTO]]&gt;=53000,"2 SERV","1 PEÇAS")</f>
        <v>1 PEÇAS</v>
      </c>
      <c r="P40" s="163">
        <v>19</v>
      </c>
      <c r="Q40" s="7">
        <v>19</v>
      </c>
      <c r="R40" s="8"/>
      <c r="S40" s="9"/>
      <c r="T40" s="128"/>
    </row>
    <row r="41" spans="1:20" x14ac:dyDescent="0.25">
      <c r="A41" s="124" t="s">
        <v>52</v>
      </c>
      <c r="B41" s="7" t="s">
        <v>151</v>
      </c>
      <c r="C41" s="73">
        <v>53211</v>
      </c>
      <c r="D41" s="152" t="s">
        <v>172</v>
      </c>
      <c r="E41" s="188" t="s">
        <v>180</v>
      </c>
      <c r="F41" s="74">
        <v>300</v>
      </c>
      <c r="G41" s="75">
        <v>579.5</v>
      </c>
      <c r="H41" s="153">
        <f>SUM(Tabela134568791011121324356789101112236457891011132345678911101223567891011131423465789101112[[#This Row],[VA]:[VR]])</f>
        <v>879.5</v>
      </c>
      <c r="I41" s="63" t="s">
        <v>179</v>
      </c>
      <c r="J41" s="80" t="s">
        <v>158</v>
      </c>
      <c r="K41" s="80" t="s">
        <v>180</v>
      </c>
      <c r="L41" s="80"/>
      <c r="M41" s="80">
        <v>204.25</v>
      </c>
      <c r="N41" s="168">
        <f>SUM(Tabela134568791011121324356789101112236457891011132345678911101223567891011131423465789101112[[#This Row],[VC]:[VT]])</f>
        <v>204.25</v>
      </c>
      <c r="O41" s="203" t="str">
        <f>IF(Tabela134568791011121324356789101112236457891011132345678911101223567891011131423465789101112[[#This Row],[CENTRO CUSTO]]&gt;=53000,"2 SERV","1 PEÇAS")</f>
        <v>2 SERV</v>
      </c>
      <c r="P41" s="163">
        <v>19</v>
      </c>
      <c r="Q41" s="7">
        <v>19</v>
      </c>
      <c r="R41" s="8"/>
      <c r="S41" s="9"/>
      <c r="T41" s="125"/>
    </row>
    <row r="42" spans="1:20" x14ac:dyDescent="0.25">
      <c r="A42" s="129" t="s">
        <v>53</v>
      </c>
      <c r="B42" s="7" t="s">
        <v>151</v>
      </c>
      <c r="C42" s="146">
        <v>53200</v>
      </c>
      <c r="D42" s="155" t="s">
        <v>172</v>
      </c>
      <c r="E42" s="190" t="s">
        <v>181</v>
      </c>
      <c r="F42" s="74">
        <v>300</v>
      </c>
      <c r="G42" s="75">
        <v>579.5</v>
      </c>
      <c r="H42" s="153">
        <f>SUM(Tabela134568791011121324356789101112236457891011132345678911101223567891011131423465789101112[[#This Row],[VA]:[VR]])</f>
        <v>879.5</v>
      </c>
      <c r="I42" s="63" t="s">
        <v>179</v>
      </c>
      <c r="J42" s="80" t="s">
        <v>158</v>
      </c>
      <c r="K42" s="80" t="s">
        <v>181</v>
      </c>
      <c r="L42" s="80"/>
      <c r="M42" s="80"/>
      <c r="N42" s="168">
        <f>SUM(Tabela134568791011121324356789101112236457891011132345678911101223567891011131423465789101112[[#This Row],[VC]:[VT]])</f>
        <v>0</v>
      </c>
      <c r="O42" s="203" t="str">
        <f>IF(Tabela134568791011121324356789101112236457891011132345678911101223567891011131423465789101112[[#This Row],[CENTRO CUSTO]]&gt;=53000,"2 SERV","1 PEÇAS")</f>
        <v>2 SERV</v>
      </c>
      <c r="P42" s="163">
        <v>19</v>
      </c>
      <c r="Q42" s="7">
        <v>19</v>
      </c>
      <c r="R42" s="8"/>
      <c r="S42" s="9"/>
      <c r="T42" s="126"/>
    </row>
    <row r="43" spans="1:20" x14ac:dyDescent="0.25">
      <c r="A43" s="124" t="s">
        <v>54</v>
      </c>
      <c r="B43" s="7" t="s">
        <v>151</v>
      </c>
      <c r="C43" s="73">
        <v>51113</v>
      </c>
      <c r="D43" s="152" t="s">
        <v>174</v>
      </c>
      <c r="E43" s="188" t="s">
        <v>180</v>
      </c>
      <c r="F43" s="74">
        <v>300</v>
      </c>
      <c r="G43" s="75">
        <v>579.5</v>
      </c>
      <c r="H43" s="153">
        <f>SUM(Tabela134568791011121324356789101112236457891011132345678911101223567891011131423465789101112[[#This Row],[VA]:[VR]])</f>
        <v>879.5</v>
      </c>
      <c r="I43" s="63" t="s">
        <v>179</v>
      </c>
      <c r="J43" s="80" t="s">
        <v>160</v>
      </c>
      <c r="K43" s="80" t="s">
        <v>180</v>
      </c>
      <c r="L43" s="80"/>
      <c r="M43" s="80"/>
      <c r="N43" s="168">
        <f>SUM(Tabela134568791011121324356789101112236457891011132345678911101223567891011131423465789101112[[#This Row],[VC]:[VT]])</f>
        <v>0</v>
      </c>
      <c r="O43" s="203" t="str">
        <f>IF(Tabela134568791011121324356789101112236457891011132345678911101223567891011131423465789101112[[#This Row],[CENTRO CUSTO]]&gt;=53000,"2 SERV","1 PEÇAS")</f>
        <v>1 PEÇAS</v>
      </c>
      <c r="P43" s="163">
        <v>19</v>
      </c>
      <c r="Q43" s="7">
        <v>19</v>
      </c>
      <c r="R43" s="8"/>
      <c r="S43" s="9"/>
      <c r="T43" s="127"/>
    </row>
    <row r="44" spans="1:20" x14ac:dyDescent="0.25">
      <c r="A44" s="130" t="s">
        <v>55</v>
      </c>
      <c r="B44" s="7" t="s">
        <v>151</v>
      </c>
      <c r="C44" s="147">
        <v>53211</v>
      </c>
      <c r="D44" s="156" t="s">
        <v>172</v>
      </c>
      <c r="E44" s="191" t="s">
        <v>180</v>
      </c>
      <c r="F44" s="76">
        <v>300</v>
      </c>
      <c r="G44" s="77">
        <v>549</v>
      </c>
      <c r="H44" s="157">
        <f>SUM(Tabela134568791011121324356789101112236457891011132345678911101223567891011131423465789101112[[#This Row],[VA]:[VR]])</f>
        <v>849</v>
      </c>
      <c r="I44" s="63" t="s">
        <v>179</v>
      </c>
      <c r="J44" s="80" t="s">
        <v>158</v>
      </c>
      <c r="K44" s="80" t="s">
        <v>180</v>
      </c>
      <c r="L44" s="80"/>
      <c r="M44" s="80"/>
      <c r="N44" s="168">
        <f>SUM(Tabela134568791011121324356789101112236457891011132345678911101223567891011131423465789101112[[#This Row],[VC]:[VT]])</f>
        <v>0</v>
      </c>
      <c r="O44" s="203" t="str">
        <f>IF(Tabela134568791011121324356789101112236457891011132345678911101223567891011131423465789101112[[#This Row],[CENTRO CUSTO]]&gt;=53000,"2 SERV","1 PEÇAS")</f>
        <v>2 SERV</v>
      </c>
      <c r="P44" s="164">
        <v>19</v>
      </c>
      <c r="Q44" s="10">
        <v>18</v>
      </c>
      <c r="R44" s="11"/>
      <c r="S44" s="12"/>
      <c r="T44" s="125" t="s">
        <v>56</v>
      </c>
    </row>
    <row r="45" spans="1:20" x14ac:dyDescent="0.25">
      <c r="A45" s="124" t="s">
        <v>57</v>
      </c>
      <c r="B45" s="7" t="s">
        <v>151</v>
      </c>
      <c r="C45" s="73">
        <v>51107</v>
      </c>
      <c r="D45" s="152" t="s">
        <v>174</v>
      </c>
      <c r="E45" s="188" t="s">
        <v>180</v>
      </c>
      <c r="F45" s="74"/>
      <c r="G45" s="75">
        <v>579.5</v>
      </c>
      <c r="H45" s="153">
        <f>SUM(Tabela134568791011121324356789101112236457891011132345678911101223567891011131423465789101112[[#This Row],[VA]:[VR]])</f>
        <v>579.5</v>
      </c>
      <c r="I45" s="63" t="s">
        <v>179</v>
      </c>
      <c r="J45" s="80" t="s">
        <v>160</v>
      </c>
      <c r="K45" s="80" t="s">
        <v>180</v>
      </c>
      <c r="L45" s="80"/>
      <c r="M45" s="80"/>
      <c r="N45" s="168">
        <f>SUM(Tabela134568791011121324356789101112236457891011132345678911101223567891011131423465789101112[[#This Row],[VC]:[VT]])</f>
        <v>0</v>
      </c>
      <c r="O45" s="203" t="str">
        <f>IF(Tabela134568791011121324356789101112236457891011132345678911101223567891011131423465789101112[[#This Row],[CENTRO CUSTO]]&gt;=53000,"2 SERV","1 PEÇAS")</f>
        <v>1 PEÇAS</v>
      </c>
      <c r="P45" s="163">
        <v>19</v>
      </c>
      <c r="Q45" s="7">
        <v>19</v>
      </c>
      <c r="R45" s="8"/>
      <c r="S45" s="9"/>
      <c r="T45" s="125"/>
    </row>
    <row r="46" spans="1:20" x14ac:dyDescent="0.25">
      <c r="A46" s="130" t="s">
        <v>58</v>
      </c>
      <c r="B46" s="7" t="s">
        <v>151</v>
      </c>
      <c r="C46" s="147">
        <v>53200</v>
      </c>
      <c r="D46" s="156" t="s">
        <v>172</v>
      </c>
      <c r="E46" s="191" t="s">
        <v>181</v>
      </c>
      <c r="F46" s="76">
        <v>700</v>
      </c>
      <c r="G46" s="77">
        <v>518.5</v>
      </c>
      <c r="H46" s="157">
        <f>SUM(Tabela134568791011121324356789101112236457891011132345678911101223567891011131423465789101112[[#This Row],[VA]:[VR]])</f>
        <v>1218.5</v>
      </c>
      <c r="I46" s="63" t="s">
        <v>179</v>
      </c>
      <c r="J46" s="80" t="s">
        <v>158</v>
      </c>
      <c r="K46" s="80" t="s">
        <v>181</v>
      </c>
      <c r="L46" s="80"/>
      <c r="M46" s="80"/>
      <c r="N46" s="168">
        <f>SUM(Tabela134568791011121324356789101112236457891011132345678911101223567891011131423465789101112[[#This Row],[VC]:[VT]])</f>
        <v>0</v>
      </c>
      <c r="O46" s="203" t="str">
        <f>IF(Tabela134568791011121324356789101112236457891011132345678911101223567891011131423465789101112[[#This Row],[CENTRO CUSTO]]&gt;=53000,"2 SERV","1 PEÇAS")</f>
        <v>2 SERV</v>
      </c>
      <c r="P46" s="164">
        <v>19</v>
      </c>
      <c r="Q46" s="10">
        <v>17</v>
      </c>
      <c r="R46" s="11"/>
      <c r="S46" s="12"/>
      <c r="T46" s="125" t="s">
        <v>59</v>
      </c>
    </row>
    <row r="47" spans="1:20" x14ac:dyDescent="0.25">
      <c r="A47" s="124" t="s">
        <v>60</v>
      </c>
      <c r="B47" s="7" t="s">
        <v>151</v>
      </c>
      <c r="C47" s="73">
        <v>53910</v>
      </c>
      <c r="D47" s="152" t="s">
        <v>173</v>
      </c>
      <c r="E47" s="188" t="s">
        <v>180</v>
      </c>
      <c r="F47" s="74">
        <v>300</v>
      </c>
      <c r="G47" s="75">
        <v>579.5</v>
      </c>
      <c r="H47" s="153">
        <f>SUM(Tabela134568791011121324356789101112236457891011132345678911101223567891011131423465789101112[[#This Row],[VA]:[VR]])</f>
        <v>879.5</v>
      </c>
      <c r="I47" s="63" t="s">
        <v>179</v>
      </c>
      <c r="J47" s="80" t="s">
        <v>183</v>
      </c>
      <c r="K47" s="80" t="s">
        <v>180</v>
      </c>
      <c r="L47" s="80"/>
      <c r="M47" s="80"/>
      <c r="N47" s="168">
        <f>SUM(Tabela134568791011121324356789101112236457891011132345678911101223567891011131423465789101112[[#This Row],[VC]:[VT]])</f>
        <v>0</v>
      </c>
      <c r="O47" s="203" t="str">
        <f>IF(Tabela134568791011121324356789101112236457891011132345678911101223567891011131423465789101112[[#This Row],[CENTRO CUSTO]]&gt;=53000,"2 SERV","1 PEÇAS")</f>
        <v>2 SERV</v>
      </c>
      <c r="P47" s="163">
        <v>19</v>
      </c>
      <c r="Q47" s="7">
        <v>19</v>
      </c>
      <c r="R47" s="8"/>
      <c r="S47" s="9"/>
      <c r="T47" s="125"/>
    </row>
    <row r="48" spans="1:20" x14ac:dyDescent="0.25">
      <c r="A48" s="124" t="s">
        <v>61</v>
      </c>
      <c r="B48" s="7" t="s">
        <v>151</v>
      </c>
      <c r="C48" s="73">
        <v>53215</v>
      </c>
      <c r="D48" s="152" t="s">
        <v>172</v>
      </c>
      <c r="E48" s="188" t="s">
        <v>180</v>
      </c>
      <c r="F48" s="74"/>
      <c r="G48" s="75">
        <v>579.5</v>
      </c>
      <c r="H48" s="153">
        <f>SUM(Tabela134568791011121324356789101112236457891011132345678911101223567891011131423465789101112[[#This Row],[VA]:[VR]])</f>
        <v>579.5</v>
      </c>
      <c r="I48" s="63" t="s">
        <v>179</v>
      </c>
      <c r="J48" s="80" t="s">
        <v>158</v>
      </c>
      <c r="K48" s="80" t="s">
        <v>180</v>
      </c>
      <c r="L48" s="80">
        <v>300</v>
      </c>
      <c r="M48" s="80"/>
      <c r="N48" s="168">
        <f>SUM(Tabela134568791011121324356789101112236457891011132345678911101223567891011131423465789101112[[#This Row],[VC]:[VT]])</f>
        <v>300</v>
      </c>
      <c r="O48" s="203" t="str">
        <f>IF(Tabela134568791011121324356789101112236457891011132345678911101223567891011131423465789101112[[#This Row],[CENTRO CUSTO]]&gt;=53000,"2 SERV","1 PEÇAS")</f>
        <v>2 SERV</v>
      </c>
      <c r="P48" s="163">
        <v>19</v>
      </c>
      <c r="Q48" s="7">
        <v>19</v>
      </c>
      <c r="R48" s="8"/>
      <c r="S48" s="9"/>
      <c r="T48" s="126"/>
    </row>
    <row r="49" spans="1:20" x14ac:dyDescent="0.25">
      <c r="A49" s="124" t="s">
        <v>62</v>
      </c>
      <c r="B49" s="7" t="s">
        <v>151</v>
      </c>
      <c r="C49" s="73">
        <v>53200</v>
      </c>
      <c r="D49" s="152" t="s">
        <v>172</v>
      </c>
      <c r="E49" s="188" t="s">
        <v>181</v>
      </c>
      <c r="F49" s="74">
        <v>300</v>
      </c>
      <c r="G49" s="75">
        <v>579.5</v>
      </c>
      <c r="H49" s="153">
        <f>SUM(Tabela134568791011121324356789101112236457891011132345678911101223567891011131423465789101112[[#This Row],[VA]:[VR]])</f>
        <v>879.5</v>
      </c>
      <c r="I49" s="63" t="s">
        <v>179</v>
      </c>
      <c r="J49" s="80" t="s">
        <v>158</v>
      </c>
      <c r="K49" s="80" t="s">
        <v>181</v>
      </c>
      <c r="L49" s="80"/>
      <c r="M49" s="80"/>
      <c r="N49" s="168">
        <f>SUM(Tabela134568791011121324356789101112236457891011132345678911101223567891011131423465789101112[[#This Row],[VC]:[VT]])</f>
        <v>0</v>
      </c>
      <c r="O49" s="203" t="str">
        <f>IF(Tabela134568791011121324356789101112236457891011132345678911101223567891011131423465789101112[[#This Row],[CENTRO CUSTO]]&gt;=53000,"2 SERV","1 PEÇAS")</f>
        <v>2 SERV</v>
      </c>
      <c r="P49" s="163">
        <v>19</v>
      </c>
      <c r="Q49" s="7">
        <v>19</v>
      </c>
      <c r="R49" s="8"/>
      <c r="S49" s="9"/>
      <c r="T49" s="126"/>
    </row>
    <row r="50" spans="1:20" x14ac:dyDescent="0.25">
      <c r="A50" s="131" t="s">
        <v>63</v>
      </c>
      <c r="B50" s="7" t="s">
        <v>151</v>
      </c>
      <c r="C50" s="148">
        <v>51109</v>
      </c>
      <c r="D50" s="158" t="s">
        <v>174</v>
      </c>
      <c r="E50" s="192" t="s">
        <v>180</v>
      </c>
      <c r="F50" s="78"/>
      <c r="G50" s="79">
        <v>549</v>
      </c>
      <c r="H50" s="159">
        <f>SUM(Tabela134568791011121324356789101112236457891011132345678911101223567891011131423465789101112[[#This Row],[VA]:[VR]])</f>
        <v>549</v>
      </c>
      <c r="I50" s="63" t="s">
        <v>179</v>
      </c>
      <c r="J50" s="80" t="s">
        <v>160</v>
      </c>
      <c r="K50" s="80" t="s">
        <v>180</v>
      </c>
      <c r="L50" s="80"/>
      <c r="M50" s="80"/>
      <c r="N50" s="168">
        <f>SUM(Tabela134568791011121324356789101112236457891011132345678911101223567891011131423465789101112[[#This Row],[VC]:[VT]])</f>
        <v>0</v>
      </c>
      <c r="O50" s="203" t="str">
        <f>IF(Tabela134568791011121324356789101112236457891011132345678911101223567891011131423465789101112[[#This Row],[CENTRO CUSTO]]&gt;=53000,"2 SERV","1 PEÇAS")</f>
        <v>1 PEÇAS</v>
      </c>
      <c r="P50" s="165">
        <v>19</v>
      </c>
      <c r="Q50" s="13">
        <v>18</v>
      </c>
      <c r="R50" s="14"/>
      <c r="S50" s="15"/>
      <c r="T50" s="132" t="s">
        <v>64</v>
      </c>
    </row>
    <row r="51" spans="1:20" x14ac:dyDescent="0.25">
      <c r="A51" s="124" t="s">
        <v>65</v>
      </c>
      <c r="B51" s="7" t="s">
        <v>151</v>
      </c>
      <c r="C51" s="73">
        <v>51500</v>
      </c>
      <c r="D51" s="152" t="s">
        <v>174</v>
      </c>
      <c r="E51" s="188" t="s">
        <v>182</v>
      </c>
      <c r="F51" s="74"/>
      <c r="G51" s="75">
        <v>579.5</v>
      </c>
      <c r="H51" s="153">
        <f>SUM(Tabela134568791011121324356789101112236457891011132345678911101223567891011131423465789101112[[#This Row],[VA]:[VR]])</f>
        <v>579.5</v>
      </c>
      <c r="I51" s="63" t="s">
        <v>179</v>
      </c>
      <c r="J51" s="80" t="s">
        <v>160</v>
      </c>
      <c r="K51" s="80" t="s">
        <v>182</v>
      </c>
      <c r="L51" s="80"/>
      <c r="M51" s="80"/>
      <c r="N51" s="168">
        <f>SUM(Tabela134568791011121324356789101112236457891011132345678911101223567891011131423465789101112[[#This Row],[VC]:[VT]])</f>
        <v>0</v>
      </c>
      <c r="O51" s="203" t="str">
        <f>IF(Tabela134568791011121324356789101112236457891011132345678911101223567891011131423465789101112[[#This Row],[CENTRO CUSTO]]&gt;=53000,"2 SERV","1 PEÇAS")</f>
        <v>1 PEÇAS</v>
      </c>
      <c r="P51" s="163">
        <v>19</v>
      </c>
      <c r="Q51" s="7">
        <v>19</v>
      </c>
      <c r="R51" s="8"/>
      <c r="S51" s="9"/>
      <c r="T51" s="128"/>
    </row>
    <row r="52" spans="1:20" x14ac:dyDescent="0.25">
      <c r="A52" s="130" t="s">
        <v>66</v>
      </c>
      <c r="B52" s="7" t="s">
        <v>151</v>
      </c>
      <c r="C52" s="147">
        <v>53300</v>
      </c>
      <c r="D52" s="156" t="s">
        <v>172</v>
      </c>
      <c r="E52" s="191" t="s">
        <v>181</v>
      </c>
      <c r="F52" s="76">
        <v>300</v>
      </c>
      <c r="G52" s="77">
        <v>549</v>
      </c>
      <c r="H52" s="157">
        <f>SUM(Tabela134568791011121324356789101112236457891011132345678911101223567891011131423465789101112[[#This Row],[VA]:[VR]])</f>
        <v>849</v>
      </c>
      <c r="I52" s="63" t="s">
        <v>179</v>
      </c>
      <c r="J52" s="80" t="s">
        <v>158</v>
      </c>
      <c r="K52" s="80" t="s">
        <v>181</v>
      </c>
      <c r="L52" s="80"/>
      <c r="M52" s="80">
        <v>144.4</v>
      </c>
      <c r="N52" s="168">
        <f>SUM(Tabela134568791011121324356789101112236457891011132345678911101223567891011131423465789101112[[#This Row],[VC]:[VT]])</f>
        <v>144.4</v>
      </c>
      <c r="O52" s="203" t="str">
        <f>IF(Tabela134568791011121324356789101112236457891011132345678911101223567891011131423465789101112[[#This Row],[CENTRO CUSTO]]&gt;=53000,"2 SERV","1 PEÇAS")</f>
        <v>2 SERV</v>
      </c>
      <c r="P52" s="164">
        <v>19</v>
      </c>
      <c r="Q52" s="10">
        <v>18</v>
      </c>
      <c r="R52" s="11"/>
      <c r="S52" s="12"/>
      <c r="T52" s="125" t="s">
        <v>67</v>
      </c>
    </row>
    <row r="53" spans="1:20" ht="30" x14ac:dyDescent="0.25">
      <c r="A53" s="130" t="s">
        <v>68</v>
      </c>
      <c r="B53" s="7" t="s">
        <v>151</v>
      </c>
      <c r="C53" s="149">
        <v>53200</v>
      </c>
      <c r="D53" s="160" t="s">
        <v>172</v>
      </c>
      <c r="E53" s="193" t="s">
        <v>180</v>
      </c>
      <c r="F53" s="76">
        <v>0</v>
      </c>
      <c r="G53" s="77">
        <v>518.5</v>
      </c>
      <c r="H53" s="157">
        <f>SUM(Tabela134568791011121324356789101112236457891011132345678911101223567891011131423465789101112[[#This Row],[VA]:[VR]])</f>
        <v>518.5</v>
      </c>
      <c r="I53" s="63" t="s">
        <v>179</v>
      </c>
      <c r="J53" s="80" t="s">
        <v>158</v>
      </c>
      <c r="K53" s="80" t="s">
        <v>180</v>
      </c>
      <c r="L53" s="80"/>
      <c r="M53" s="80"/>
      <c r="N53" s="168">
        <f>SUM(Tabela134568791011121324356789101112236457891011132345678911101223567891011131423465789101112[[#This Row],[VC]:[VT]])</f>
        <v>0</v>
      </c>
      <c r="O53" s="203" t="str">
        <f>IF(Tabela134568791011121324356789101112236457891011132345678911101223567891011131423465789101112[[#This Row],[CENTRO CUSTO]]&gt;=53000,"2 SERV","1 PEÇAS")</f>
        <v>2 SERV</v>
      </c>
      <c r="P53" s="164">
        <v>19</v>
      </c>
      <c r="Q53" s="10">
        <v>17</v>
      </c>
      <c r="R53" s="11"/>
      <c r="S53" s="12"/>
      <c r="T53" s="125" t="s">
        <v>115</v>
      </c>
    </row>
    <row r="54" spans="1:20" x14ac:dyDescent="0.25">
      <c r="A54" s="124" t="s">
        <v>69</v>
      </c>
      <c r="B54" s="7" t="s">
        <v>151</v>
      </c>
      <c r="C54" s="73">
        <v>53200</v>
      </c>
      <c r="D54" s="152" t="s">
        <v>172</v>
      </c>
      <c r="E54" s="188" t="s">
        <v>182</v>
      </c>
      <c r="F54" s="74">
        <v>300</v>
      </c>
      <c r="G54" s="75">
        <v>579.5</v>
      </c>
      <c r="H54" s="153">
        <f>SUM(Tabela134568791011121324356789101112236457891011132345678911101223567891011131423465789101112[[#This Row],[VA]:[VR]])</f>
        <v>879.5</v>
      </c>
      <c r="I54" s="63" t="s">
        <v>179</v>
      </c>
      <c r="J54" s="80" t="s">
        <v>158</v>
      </c>
      <c r="K54" s="80" t="s">
        <v>182</v>
      </c>
      <c r="L54" s="80"/>
      <c r="M54" s="80"/>
      <c r="N54" s="168">
        <f>SUM(Tabela134568791011121324356789101112236457891011132345678911101223567891011131423465789101112[[#This Row],[VC]:[VT]])</f>
        <v>0</v>
      </c>
      <c r="O54" s="203" t="str">
        <f>IF(Tabela134568791011121324356789101112236457891011132345678911101223567891011131423465789101112[[#This Row],[CENTRO CUSTO]]&gt;=53000,"2 SERV","1 PEÇAS")</f>
        <v>2 SERV</v>
      </c>
      <c r="P54" s="163">
        <v>19</v>
      </c>
      <c r="Q54" s="7">
        <v>19</v>
      </c>
      <c r="R54" s="8"/>
      <c r="S54" s="9"/>
      <c r="T54" s="126"/>
    </row>
    <row r="55" spans="1:20" x14ac:dyDescent="0.25">
      <c r="A55" s="133" t="s">
        <v>70</v>
      </c>
      <c r="B55" s="7" t="s">
        <v>151</v>
      </c>
      <c r="C55" s="150" t="s">
        <v>14</v>
      </c>
      <c r="D55" s="152" t="s">
        <v>173</v>
      </c>
      <c r="E55" s="188" t="s">
        <v>180</v>
      </c>
      <c r="F55" s="74"/>
      <c r="G55" s="75">
        <v>366.7</v>
      </c>
      <c r="H55" s="153">
        <f>SUM(Tabela134568791011121324356789101112236457891011132345678911101223567891011131423465789101112[[#This Row],[VA]:[VR]])</f>
        <v>366.7</v>
      </c>
      <c r="I55" s="63" t="s">
        <v>179</v>
      </c>
      <c r="J55" s="80" t="s">
        <v>183</v>
      </c>
      <c r="K55" s="80" t="s">
        <v>180</v>
      </c>
      <c r="L55" s="80"/>
      <c r="M55" s="80">
        <v>228</v>
      </c>
      <c r="N55" s="168">
        <f>SUM(Tabela134568791011121324356789101112236457891011132345678911101223567891011131423465789101112[[#This Row],[VC]:[VT]])</f>
        <v>228</v>
      </c>
      <c r="O55" s="203" t="str">
        <f>IF(Tabela134568791011121324356789101112236457891011132345678911101223567891011131423465789101112[[#This Row],[CENTRO CUSTO]]&gt;=53000,"2 SERV","1 PEÇAS")</f>
        <v>2 SERV</v>
      </c>
      <c r="P55" s="166">
        <v>19</v>
      </c>
      <c r="Q55" s="16">
        <v>19</v>
      </c>
      <c r="R55" s="17"/>
      <c r="S55" s="18"/>
      <c r="T55" s="134"/>
    </row>
    <row r="56" spans="1:20" x14ac:dyDescent="0.25">
      <c r="A56" s="124" t="s">
        <v>71</v>
      </c>
      <c r="B56" s="7" t="s">
        <v>151</v>
      </c>
      <c r="C56" s="73">
        <v>53215</v>
      </c>
      <c r="D56" s="152" t="s">
        <v>172</v>
      </c>
      <c r="E56" s="188" t="s">
        <v>180</v>
      </c>
      <c r="F56" s="74">
        <v>300</v>
      </c>
      <c r="G56" s="75">
        <v>579.5</v>
      </c>
      <c r="H56" s="153">
        <f>SUM(Tabela134568791011121324356789101112236457891011132345678911101223567891011131423465789101112[[#This Row],[VA]:[VR]])</f>
        <v>879.5</v>
      </c>
      <c r="I56" s="63" t="s">
        <v>179</v>
      </c>
      <c r="J56" s="80" t="s">
        <v>158</v>
      </c>
      <c r="K56" s="80" t="s">
        <v>180</v>
      </c>
      <c r="L56" s="80"/>
      <c r="M56" s="80"/>
      <c r="N56" s="168">
        <f>SUM(Tabela134568791011121324356789101112236457891011132345678911101223567891011131423465789101112[[#This Row],[VC]:[VT]])</f>
        <v>0</v>
      </c>
      <c r="O56" s="203" t="str">
        <f>IF(Tabela134568791011121324356789101112236457891011132345678911101223567891011131423465789101112[[#This Row],[CENTRO CUSTO]]&gt;=53000,"2 SERV","1 PEÇAS")</f>
        <v>2 SERV</v>
      </c>
      <c r="P56" s="163">
        <v>19</v>
      </c>
      <c r="Q56" s="7">
        <v>19</v>
      </c>
      <c r="R56" s="8"/>
      <c r="S56" s="9"/>
      <c r="T56" s="126"/>
    </row>
    <row r="57" spans="1:20" x14ac:dyDescent="0.25">
      <c r="A57" s="124" t="s">
        <v>72</v>
      </c>
      <c r="B57" s="7" t="s">
        <v>151</v>
      </c>
      <c r="C57" s="73">
        <v>53214</v>
      </c>
      <c r="D57" s="152" t="s">
        <v>172</v>
      </c>
      <c r="E57" s="188" t="s">
        <v>180</v>
      </c>
      <c r="F57" s="74">
        <v>300</v>
      </c>
      <c r="G57" s="75">
        <v>579.5</v>
      </c>
      <c r="H57" s="153">
        <f>SUM(Tabela134568791011121324356789101112236457891011132345678911101223567891011131423465789101112[[#This Row],[VA]:[VR]])</f>
        <v>879.5</v>
      </c>
      <c r="I57" s="63" t="s">
        <v>179</v>
      </c>
      <c r="J57" s="80" t="s">
        <v>158</v>
      </c>
      <c r="K57" s="80" t="s">
        <v>180</v>
      </c>
      <c r="L57" s="80"/>
      <c r="M57" s="80"/>
      <c r="N57" s="168">
        <f>SUM(Tabela134568791011121324356789101112236457891011132345678911101223567891011131423465789101112[[#This Row],[VC]:[VT]])</f>
        <v>0</v>
      </c>
      <c r="O57" s="203" t="str">
        <f>IF(Tabela134568791011121324356789101112236457891011132345678911101223567891011131423465789101112[[#This Row],[CENTRO CUSTO]]&gt;=53000,"2 SERV","1 PEÇAS")</f>
        <v>2 SERV</v>
      </c>
      <c r="P57" s="163">
        <v>19</v>
      </c>
      <c r="Q57" s="7">
        <v>19</v>
      </c>
      <c r="R57" s="8"/>
      <c r="S57" s="9"/>
      <c r="T57" s="127"/>
    </row>
    <row r="58" spans="1:20" x14ac:dyDescent="0.25">
      <c r="A58" s="124" t="s">
        <v>73</v>
      </c>
      <c r="B58" s="7" t="s">
        <v>151</v>
      </c>
      <c r="C58" s="146">
        <v>53200</v>
      </c>
      <c r="D58" s="155" t="s">
        <v>172</v>
      </c>
      <c r="E58" s="190" t="s">
        <v>182</v>
      </c>
      <c r="F58" s="74">
        <v>300</v>
      </c>
      <c r="G58" s="75">
        <v>579.5</v>
      </c>
      <c r="H58" s="153">
        <f>SUM(Tabela134568791011121324356789101112236457891011132345678911101223567891011131423465789101112[[#This Row],[VA]:[VR]])</f>
        <v>879.5</v>
      </c>
      <c r="I58" s="63" t="s">
        <v>179</v>
      </c>
      <c r="J58" s="80" t="s">
        <v>158</v>
      </c>
      <c r="K58" s="80" t="s">
        <v>182</v>
      </c>
      <c r="L58" s="80"/>
      <c r="M58" s="80"/>
      <c r="N58" s="168">
        <f>SUM(Tabela134568791011121324356789101112236457891011132345678911101223567891011131423465789101112[[#This Row],[VC]:[VT]])</f>
        <v>0</v>
      </c>
      <c r="O58" s="203" t="str">
        <f>IF(Tabela134568791011121324356789101112236457891011132345678911101223567891011131423465789101112[[#This Row],[CENTRO CUSTO]]&gt;=53000,"2 SERV","1 PEÇAS")</f>
        <v>2 SERV</v>
      </c>
      <c r="P58" s="163">
        <v>19</v>
      </c>
      <c r="Q58" s="7">
        <v>19</v>
      </c>
      <c r="R58" s="8"/>
      <c r="S58" s="9"/>
      <c r="T58" s="126"/>
    </row>
    <row r="59" spans="1:20" x14ac:dyDescent="0.25">
      <c r="A59" s="124" t="s">
        <v>74</v>
      </c>
      <c r="B59" s="7" t="s">
        <v>151</v>
      </c>
      <c r="C59" s="73">
        <v>51103</v>
      </c>
      <c r="D59" s="152" t="s">
        <v>174</v>
      </c>
      <c r="E59" s="188" t="s">
        <v>180</v>
      </c>
      <c r="F59" s="74"/>
      <c r="G59" s="75">
        <v>579.5</v>
      </c>
      <c r="H59" s="153">
        <f>SUM(Tabela134568791011121324356789101112236457891011132345678911101223567891011131423465789101112[[#This Row],[VA]:[VR]])</f>
        <v>579.5</v>
      </c>
      <c r="I59" s="63" t="s">
        <v>179</v>
      </c>
      <c r="J59" s="80" t="s">
        <v>160</v>
      </c>
      <c r="K59" s="80" t="s">
        <v>180</v>
      </c>
      <c r="L59" s="80"/>
      <c r="M59" s="80"/>
      <c r="N59" s="168">
        <f>SUM(Tabela134568791011121324356789101112236457891011132345678911101223567891011131423465789101112[[#This Row],[VC]:[VT]])</f>
        <v>0</v>
      </c>
      <c r="O59" s="203" t="str">
        <f>IF(Tabela134568791011121324356789101112236457891011132345678911101223567891011131423465789101112[[#This Row],[CENTRO CUSTO]]&gt;=53000,"2 SERV","1 PEÇAS")</f>
        <v>1 PEÇAS</v>
      </c>
      <c r="P59" s="163">
        <v>19</v>
      </c>
      <c r="Q59" s="7">
        <v>19</v>
      </c>
      <c r="R59" s="8"/>
      <c r="S59" s="9"/>
      <c r="T59" s="127"/>
    </row>
    <row r="60" spans="1:20" x14ac:dyDescent="0.25">
      <c r="A60" s="124" t="s">
        <v>75</v>
      </c>
      <c r="B60" s="7" t="s">
        <v>151</v>
      </c>
      <c r="C60" s="73">
        <v>51104</v>
      </c>
      <c r="D60" s="152" t="s">
        <v>174</v>
      </c>
      <c r="E60" s="188" t="s">
        <v>180</v>
      </c>
      <c r="F60" s="74"/>
      <c r="G60" s="75">
        <v>579.5</v>
      </c>
      <c r="H60" s="153">
        <f>SUM(Tabela134568791011121324356789101112236457891011132345678911101223567891011131423465789101112[[#This Row],[VA]:[VR]])</f>
        <v>579.5</v>
      </c>
      <c r="I60" s="63" t="s">
        <v>179</v>
      </c>
      <c r="J60" s="80" t="s">
        <v>160</v>
      </c>
      <c r="K60" s="80" t="s">
        <v>180</v>
      </c>
      <c r="L60" s="80"/>
      <c r="M60" s="80"/>
      <c r="N60" s="168">
        <f>SUM(Tabela134568791011121324356789101112236457891011132345678911101223567891011131423465789101112[[#This Row],[VC]:[VT]])</f>
        <v>0</v>
      </c>
      <c r="O60" s="203" t="str">
        <f>IF(Tabela134568791011121324356789101112236457891011132345678911101223567891011131423465789101112[[#This Row],[CENTRO CUSTO]]&gt;=53000,"2 SERV","1 PEÇAS")</f>
        <v>1 PEÇAS</v>
      </c>
      <c r="P60" s="163">
        <v>19</v>
      </c>
      <c r="Q60" s="7">
        <v>19</v>
      </c>
      <c r="R60" s="8"/>
      <c r="S60" s="9"/>
      <c r="T60" s="128"/>
    </row>
    <row r="61" spans="1:20" x14ac:dyDescent="0.25">
      <c r="A61" s="124" t="s">
        <v>76</v>
      </c>
      <c r="B61" s="7" t="s">
        <v>151</v>
      </c>
      <c r="C61" s="73">
        <v>53200</v>
      </c>
      <c r="D61" s="152" t="s">
        <v>172</v>
      </c>
      <c r="E61" s="188" t="s">
        <v>181</v>
      </c>
      <c r="F61" s="74">
        <v>300</v>
      </c>
      <c r="G61" s="75">
        <v>579.5</v>
      </c>
      <c r="H61" s="153">
        <f>SUM(Tabela134568791011121324356789101112236457891011132345678911101223567891011131423465789101112[[#This Row],[VA]:[VR]])</f>
        <v>879.5</v>
      </c>
      <c r="I61" s="63" t="s">
        <v>179</v>
      </c>
      <c r="J61" s="80" t="s">
        <v>158</v>
      </c>
      <c r="K61" s="80" t="s">
        <v>181</v>
      </c>
      <c r="L61" s="80"/>
      <c r="M61" s="80"/>
      <c r="N61" s="168">
        <f>SUM(Tabela134568791011121324356789101112236457891011132345678911101223567891011131423465789101112[[#This Row],[VC]:[VT]])</f>
        <v>0</v>
      </c>
      <c r="O61" s="203" t="str">
        <f>IF(Tabela134568791011121324356789101112236457891011132345678911101223567891011131423465789101112[[#This Row],[CENTRO CUSTO]]&gt;=53000,"2 SERV","1 PEÇAS")</f>
        <v>2 SERV</v>
      </c>
      <c r="P61" s="163">
        <v>19</v>
      </c>
      <c r="Q61" s="7">
        <v>19</v>
      </c>
      <c r="R61" s="8"/>
      <c r="S61" s="9"/>
      <c r="T61" s="126"/>
    </row>
    <row r="62" spans="1:20" x14ac:dyDescent="0.25">
      <c r="A62" s="124" t="s">
        <v>77</v>
      </c>
      <c r="B62" s="7" t="s">
        <v>151</v>
      </c>
      <c r="C62" s="73">
        <v>53217</v>
      </c>
      <c r="D62" s="152" t="s">
        <v>172</v>
      </c>
      <c r="E62" s="188" t="s">
        <v>180</v>
      </c>
      <c r="F62" s="74">
        <v>300</v>
      </c>
      <c r="G62" s="75">
        <v>579.5</v>
      </c>
      <c r="H62" s="153">
        <f>SUM(Tabela134568791011121324356789101112236457891011132345678911101223567891011131423465789101112[[#This Row],[VA]:[VR]])</f>
        <v>879.5</v>
      </c>
      <c r="I62" s="63" t="s">
        <v>179</v>
      </c>
      <c r="J62" s="80" t="s">
        <v>158</v>
      </c>
      <c r="K62" s="80" t="s">
        <v>180</v>
      </c>
      <c r="L62" s="80"/>
      <c r="M62" s="80">
        <v>190</v>
      </c>
      <c r="N62" s="168">
        <f>SUM(Tabela134568791011121324356789101112236457891011132345678911101223567891011131423465789101112[[#This Row],[VC]:[VT]])</f>
        <v>190</v>
      </c>
      <c r="O62" s="203" t="str">
        <f>IF(Tabela134568791011121324356789101112236457891011132345678911101223567891011131423465789101112[[#This Row],[CENTRO CUSTO]]&gt;=53000,"2 SERV","1 PEÇAS")</f>
        <v>2 SERV</v>
      </c>
      <c r="P62" s="163">
        <v>19</v>
      </c>
      <c r="Q62" s="7">
        <v>19</v>
      </c>
      <c r="R62" s="8"/>
      <c r="S62" s="9"/>
      <c r="T62" s="127"/>
    </row>
    <row r="63" spans="1:20" ht="30" x14ac:dyDescent="0.25">
      <c r="A63" s="130" t="s">
        <v>78</v>
      </c>
      <c r="B63" s="7" t="s">
        <v>151</v>
      </c>
      <c r="C63" s="147">
        <v>53200</v>
      </c>
      <c r="D63" s="156" t="s">
        <v>172</v>
      </c>
      <c r="E63" s="191" t="s">
        <v>181</v>
      </c>
      <c r="F63" s="76">
        <v>0</v>
      </c>
      <c r="G63" s="77">
        <v>427</v>
      </c>
      <c r="H63" s="157">
        <f>SUM(Tabela134568791011121324356789101112236457891011132345678911101223567891011131423465789101112[[#This Row],[VA]:[VR]])</f>
        <v>427</v>
      </c>
      <c r="I63" s="63" t="s">
        <v>179</v>
      </c>
      <c r="J63" s="80" t="s">
        <v>158</v>
      </c>
      <c r="K63" s="80" t="s">
        <v>181</v>
      </c>
      <c r="L63" s="80"/>
      <c r="M63" s="80"/>
      <c r="N63" s="168">
        <f>SUM(Tabela134568791011121324356789101112236457891011132345678911101223567891011131423465789101112[[#This Row],[VC]:[VT]])</f>
        <v>0</v>
      </c>
      <c r="O63" s="203" t="str">
        <f>IF(Tabela134568791011121324356789101112236457891011132345678911101223567891011131423465789101112[[#This Row],[CENTRO CUSTO]]&gt;=53000,"2 SERV","1 PEÇAS")</f>
        <v>2 SERV</v>
      </c>
      <c r="P63" s="164">
        <v>19</v>
      </c>
      <c r="Q63" s="10">
        <v>14</v>
      </c>
      <c r="R63" s="11"/>
      <c r="S63" s="12"/>
      <c r="T63" s="125" t="s">
        <v>114</v>
      </c>
    </row>
    <row r="64" spans="1:20" x14ac:dyDescent="0.25">
      <c r="A64" s="124" t="s">
        <v>79</v>
      </c>
      <c r="B64" s="7" t="s">
        <v>151</v>
      </c>
      <c r="C64" s="145">
        <v>53000</v>
      </c>
      <c r="D64" s="154" t="s">
        <v>173</v>
      </c>
      <c r="E64" s="189" t="s">
        <v>181</v>
      </c>
      <c r="F64" s="74">
        <v>300</v>
      </c>
      <c r="G64" s="75">
        <v>579.5</v>
      </c>
      <c r="H64" s="153">
        <f>SUM(Tabela134568791011121324356789101112236457891011132345678911101223567891011131423465789101112[[#This Row],[VA]:[VR]])</f>
        <v>879.5</v>
      </c>
      <c r="I64" s="63" t="s">
        <v>179</v>
      </c>
      <c r="J64" s="80" t="s">
        <v>183</v>
      </c>
      <c r="K64" s="80" t="s">
        <v>181</v>
      </c>
      <c r="L64" s="80"/>
      <c r="M64" s="80"/>
      <c r="N64" s="168">
        <f>SUM(Tabela134568791011121324356789101112236457891011132345678911101223567891011131423465789101112[[#This Row],[VC]:[VT]])</f>
        <v>0</v>
      </c>
      <c r="O64" s="203" t="str">
        <f>IF(Tabela134568791011121324356789101112236457891011132345678911101223567891011131423465789101112[[#This Row],[CENTRO CUSTO]]&gt;=53000,"2 SERV","1 PEÇAS")</f>
        <v>2 SERV</v>
      </c>
      <c r="P64" s="163">
        <v>19</v>
      </c>
      <c r="Q64" s="7">
        <v>19</v>
      </c>
      <c r="R64" s="8"/>
      <c r="S64" s="9"/>
      <c r="T64" s="128"/>
    </row>
    <row r="65" spans="1:20" x14ac:dyDescent="0.25">
      <c r="A65" s="124" t="s">
        <v>80</v>
      </c>
      <c r="B65" s="7" t="s">
        <v>151</v>
      </c>
      <c r="C65" s="73">
        <v>51201</v>
      </c>
      <c r="D65" s="152" t="s">
        <v>173</v>
      </c>
      <c r="E65" s="188" t="s">
        <v>180</v>
      </c>
      <c r="F65" s="74"/>
      <c r="G65" s="75">
        <v>579.5</v>
      </c>
      <c r="H65" s="153">
        <f>SUM(Tabela134568791011121324356789101112236457891011132345678911101223567891011131423465789101112[[#This Row],[VA]:[VR]])</f>
        <v>579.5</v>
      </c>
      <c r="I65" s="63" t="s">
        <v>179</v>
      </c>
      <c r="J65" s="80" t="s">
        <v>183</v>
      </c>
      <c r="K65" s="80" t="s">
        <v>180</v>
      </c>
      <c r="L65" s="80"/>
      <c r="M65" s="80"/>
      <c r="N65" s="168">
        <f>SUM(Tabela134568791011121324356789101112236457891011132345678911101223567891011131423465789101112[[#This Row],[VC]:[VT]])</f>
        <v>0</v>
      </c>
      <c r="O65" s="203" t="str">
        <f>IF(Tabela134568791011121324356789101112236457891011132345678911101223567891011131423465789101112[[#This Row],[CENTRO CUSTO]]&gt;=53000,"2 SERV","1 PEÇAS")</f>
        <v>1 PEÇAS</v>
      </c>
      <c r="P65" s="163">
        <v>19</v>
      </c>
      <c r="Q65" s="7">
        <v>19</v>
      </c>
      <c r="R65" s="8"/>
      <c r="S65" s="9"/>
      <c r="T65" s="126"/>
    </row>
    <row r="66" spans="1:20" x14ac:dyDescent="0.25">
      <c r="A66" s="130" t="s">
        <v>81</v>
      </c>
      <c r="B66" s="7" t="s">
        <v>151</v>
      </c>
      <c r="C66" s="147">
        <v>52300</v>
      </c>
      <c r="D66" s="156" t="s">
        <v>173</v>
      </c>
      <c r="E66" s="191" t="s">
        <v>180</v>
      </c>
      <c r="F66" s="76"/>
      <c r="G66" s="77">
        <v>396.5</v>
      </c>
      <c r="H66" s="157">
        <f>SUM(Tabela134568791011121324356789101112236457891011132345678911101223567891011131423465789101112[[#This Row],[VA]:[VR]])</f>
        <v>396.5</v>
      </c>
      <c r="I66" s="63" t="s">
        <v>179</v>
      </c>
      <c r="J66" s="80" t="s">
        <v>183</v>
      </c>
      <c r="K66" s="80" t="s">
        <v>180</v>
      </c>
      <c r="L66" s="80"/>
      <c r="M66" s="80"/>
      <c r="N66" s="168">
        <f>SUM(Tabela134568791011121324356789101112236457891011132345678911101223567891011131423465789101112[[#This Row],[VC]:[VT]])</f>
        <v>0</v>
      </c>
      <c r="O66" s="203" t="str">
        <f>IF(Tabela134568791011121324356789101112236457891011132345678911101223567891011131423465789101112[[#This Row],[CENTRO CUSTO]]&gt;=53000,"2 SERV","1 PEÇAS")</f>
        <v>1 PEÇAS</v>
      </c>
      <c r="P66" s="164">
        <v>19</v>
      </c>
      <c r="Q66" s="10">
        <v>13</v>
      </c>
      <c r="R66" s="11"/>
      <c r="S66" s="12"/>
      <c r="T66" s="127" t="s">
        <v>82</v>
      </c>
    </row>
    <row r="67" spans="1:20" ht="30" x14ac:dyDescent="0.25">
      <c r="A67" s="131" t="s">
        <v>83</v>
      </c>
      <c r="B67" s="7" t="s">
        <v>151</v>
      </c>
      <c r="C67" s="148" t="s">
        <v>14</v>
      </c>
      <c r="D67" s="158" t="s">
        <v>173</v>
      </c>
      <c r="E67" s="192" t="s">
        <v>180</v>
      </c>
      <c r="F67" s="78"/>
      <c r="G67" s="79">
        <v>0</v>
      </c>
      <c r="H67" s="159">
        <f>SUM(Tabela134568791011121324356789101112236457891011132345678911101223567891011131423465789101112[[#This Row],[VA]:[VR]])</f>
        <v>0</v>
      </c>
      <c r="I67" s="63" t="s">
        <v>179</v>
      </c>
      <c r="J67" s="80" t="s">
        <v>183</v>
      </c>
      <c r="K67" s="80" t="s">
        <v>180</v>
      </c>
      <c r="L67" s="80"/>
      <c r="M67" s="80"/>
      <c r="N67" s="168">
        <f>SUM(Tabela134568791011121324356789101112236457891011132345678911101223567891011131423465789101112[[#This Row],[VC]:[VT]])</f>
        <v>0</v>
      </c>
      <c r="O67" s="203" t="str">
        <f>IF(Tabela134568791011121324356789101112236457891011132345678911101223567891011131423465789101112[[#This Row],[CENTRO CUSTO]]&gt;=53000,"2 SERV","1 PEÇAS")</f>
        <v>2 SERV</v>
      </c>
      <c r="P67" s="165">
        <v>19</v>
      </c>
      <c r="Q67" s="13">
        <v>0</v>
      </c>
      <c r="R67" s="14"/>
      <c r="S67" s="15"/>
      <c r="T67" s="125" t="s">
        <v>84</v>
      </c>
    </row>
    <row r="68" spans="1:20" x14ac:dyDescent="0.25">
      <c r="A68" s="124" t="s">
        <v>85</v>
      </c>
      <c r="B68" s="7" t="s">
        <v>151</v>
      </c>
      <c r="C68" s="73">
        <v>53200</v>
      </c>
      <c r="D68" s="152" t="s">
        <v>172</v>
      </c>
      <c r="E68" s="188" t="s">
        <v>181</v>
      </c>
      <c r="F68" s="74">
        <v>300</v>
      </c>
      <c r="G68" s="75">
        <v>579.5</v>
      </c>
      <c r="H68" s="153">
        <f>SUM(Tabela134568791011121324356789101112236457891011132345678911101223567891011131423465789101112[[#This Row],[VA]:[VR]])</f>
        <v>879.5</v>
      </c>
      <c r="I68" s="63" t="s">
        <v>179</v>
      </c>
      <c r="J68" s="80" t="s">
        <v>158</v>
      </c>
      <c r="K68" s="80" t="s">
        <v>181</v>
      </c>
      <c r="L68" s="80"/>
      <c r="M68" s="80"/>
      <c r="N68" s="168">
        <f>SUM(Tabela134568791011121324356789101112236457891011132345678911101223567891011131423465789101112[[#This Row],[VC]:[VT]])</f>
        <v>0</v>
      </c>
      <c r="O68" s="203" t="str">
        <f>IF(Tabela134568791011121324356789101112236457891011132345678911101223567891011131423465789101112[[#This Row],[CENTRO CUSTO]]&gt;=53000,"2 SERV","1 PEÇAS")</f>
        <v>2 SERV</v>
      </c>
      <c r="P68" s="163">
        <v>19</v>
      </c>
      <c r="Q68" s="7">
        <v>19</v>
      </c>
      <c r="R68" s="8"/>
      <c r="S68" s="9"/>
      <c r="T68" s="125"/>
    </row>
    <row r="69" spans="1:20" x14ac:dyDescent="0.25">
      <c r="A69" s="124" t="s">
        <v>86</v>
      </c>
      <c r="B69" s="7" t="s">
        <v>151</v>
      </c>
      <c r="C69" s="73">
        <v>51201</v>
      </c>
      <c r="D69" s="152" t="s">
        <v>173</v>
      </c>
      <c r="E69" s="188" t="s">
        <v>180</v>
      </c>
      <c r="F69" s="74"/>
      <c r="G69" s="75">
        <v>579.5</v>
      </c>
      <c r="H69" s="153">
        <f>SUM(Tabela134568791011121324356789101112236457891011132345678911101223567891011131423465789101112[[#This Row],[VA]:[VR]])</f>
        <v>579.5</v>
      </c>
      <c r="I69" s="63" t="s">
        <v>179</v>
      </c>
      <c r="J69" s="80" t="s">
        <v>183</v>
      </c>
      <c r="K69" s="80" t="s">
        <v>180</v>
      </c>
      <c r="L69" s="80">
        <v>300</v>
      </c>
      <c r="M69" s="80"/>
      <c r="N69" s="168">
        <f>SUM(Tabela134568791011121324356789101112236457891011132345678911101223567891011131423465789101112[[#This Row],[VC]:[VT]])</f>
        <v>300</v>
      </c>
      <c r="O69" s="203" t="str">
        <f>IF(Tabela134568791011121324356789101112236457891011132345678911101223567891011131423465789101112[[#This Row],[CENTRO CUSTO]]&gt;=53000,"2 SERV","1 PEÇAS")</f>
        <v>1 PEÇAS</v>
      </c>
      <c r="P69" s="163">
        <v>19</v>
      </c>
      <c r="Q69" s="7">
        <v>19</v>
      </c>
      <c r="R69" s="8"/>
      <c r="S69" s="9"/>
      <c r="T69" s="126"/>
    </row>
    <row r="70" spans="1:20" x14ac:dyDescent="0.25">
      <c r="A70" s="124" t="s">
        <v>87</v>
      </c>
      <c r="B70" s="7" t="s">
        <v>151</v>
      </c>
      <c r="C70" s="73">
        <v>51113</v>
      </c>
      <c r="D70" s="152" t="s">
        <v>174</v>
      </c>
      <c r="E70" s="188" t="s">
        <v>180</v>
      </c>
      <c r="F70" s="74">
        <v>300</v>
      </c>
      <c r="G70" s="75">
        <v>579.5</v>
      </c>
      <c r="H70" s="153">
        <f>SUM(Tabela134568791011121324356789101112236457891011132345678911101223567891011131423465789101112[[#This Row],[VA]:[VR]])</f>
        <v>879.5</v>
      </c>
      <c r="I70" s="63" t="s">
        <v>179</v>
      </c>
      <c r="J70" s="80" t="s">
        <v>160</v>
      </c>
      <c r="K70" s="80" t="s">
        <v>180</v>
      </c>
      <c r="L70" s="80"/>
      <c r="M70" s="80"/>
      <c r="N70" s="168">
        <f>SUM(Tabela134568791011121324356789101112236457891011132345678911101223567891011131423465789101112[[#This Row],[VC]:[VT]])</f>
        <v>0</v>
      </c>
      <c r="O70" s="203" t="str">
        <f>IF(Tabela134568791011121324356789101112236457891011132345678911101223567891011131423465789101112[[#This Row],[CENTRO CUSTO]]&gt;=53000,"2 SERV","1 PEÇAS")</f>
        <v>1 PEÇAS</v>
      </c>
      <c r="P70" s="163">
        <v>19</v>
      </c>
      <c r="Q70" s="7">
        <v>19</v>
      </c>
      <c r="R70" s="8"/>
      <c r="S70" s="9"/>
      <c r="T70" s="127"/>
    </row>
    <row r="71" spans="1:20" x14ac:dyDescent="0.25">
      <c r="A71" s="124" t="s">
        <v>88</v>
      </c>
      <c r="B71" s="7" t="s">
        <v>151</v>
      </c>
      <c r="C71" s="73">
        <v>53210</v>
      </c>
      <c r="D71" s="152" t="s">
        <v>172</v>
      </c>
      <c r="E71" s="188" t="s">
        <v>180</v>
      </c>
      <c r="F71" s="74">
        <v>300</v>
      </c>
      <c r="G71" s="75">
        <v>579.5</v>
      </c>
      <c r="H71" s="153">
        <f>SUM(Tabela134568791011121324356789101112236457891011132345678911101223567891011131423465789101112[[#This Row],[VA]:[VR]])</f>
        <v>879.5</v>
      </c>
      <c r="I71" s="63" t="s">
        <v>179</v>
      </c>
      <c r="J71" s="80" t="s">
        <v>158</v>
      </c>
      <c r="K71" s="80" t="s">
        <v>180</v>
      </c>
      <c r="L71" s="80"/>
      <c r="M71" s="80"/>
      <c r="N71" s="168">
        <f>SUM(Tabela134568791011121324356789101112236457891011132345678911101223567891011131423465789101112[[#This Row],[VC]:[VT]])</f>
        <v>0</v>
      </c>
      <c r="O71" s="203" t="str">
        <f>IF(Tabela134568791011121324356789101112236457891011132345678911101223567891011131423465789101112[[#This Row],[CENTRO CUSTO]]&gt;=53000,"2 SERV","1 PEÇAS")</f>
        <v>2 SERV</v>
      </c>
      <c r="P71" s="163">
        <v>19</v>
      </c>
      <c r="Q71" s="7">
        <v>19</v>
      </c>
      <c r="R71" s="8"/>
      <c r="S71" s="9"/>
      <c r="T71" s="128"/>
    </row>
    <row r="72" spans="1:20" ht="30" x14ac:dyDescent="0.25">
      <c r="A72" s="130" t="s">
        <v>89</v>
      </c>
      <c r="B72" s="7" t="s">
        <v>151</v>
      </c>
      <c r="C72" s="147">
        <v>51111</v>
      </c>
      <c r="D72" s="156" t="s">
        <v>174</v>
      </c>
      <c r="E72" s="191" t="s">
        <v>180</v>
      </c>
      <c r="F72" s="76"/>
      <c r="G72" s="77">
        <v>274.5</v>
      </c>
      <c r="H72" s="157">
        <f>SUM(Tabela134568791011121324356789101112236457891011132345678911101223567891011131423465789101112[[#This Row],[VA]:[VR]])</f>
        <v>274.5</v>
      </c>
      <c r="I72" s="63" t="s">
        <v>179</v>
      </c>
      <c r="J72" s="80" t="s">
        <v>160</v>
      </c>
      <c r="K72" s="80" t="s">
        <v>180</v>
      </c>
      <c r="L72" s="80"/>
      <c r="M72" s="80"/>
      <c r="N72" s="168">
        <f>SUM(Tabela134568791011121324356789101112236457891011132345678911101223567891011131423465789101112[[#This Row],[VC]:[VT]])</f>
        <v>0</v>
      </c>
      <c r="O72" s="203" t="str">
        <f>IF(Tabela134568791011121324356789101112236457891011132345678911101223567891011131423465789101112[[#This Row],[CENTRO CUSTO]]&gt;=53000,"2 SERV","1 PEÇAS")</f>
        <v>1 PEÇAS</v>
      </c>
      <c r="P72" s="164">
        <v>19</v>
      </c>
      <c r="Q72" s="10">
        <v>9</v>
      </c>
      <c r="R72" s="11"/>
      <c r="S72" s="12"/>
      <c r="T72" s="125" t="s">
        <v>90</v>
      </c>
    </row>
    <row r="73" spans="1:20" x14ac:dyDescent="0.25">
      <c r="A73" s="124" t="s">
        <v>91</v>
      </c>
      <c r="B73" s="7" t="s">
        <v>151</v>
      </c>
      <c r="C73" s="73">
        <v>53200</v>
      </c>
      <c r="D73" s="152" t="s">
        <v>172</v>
      </c>
      <c r="E73" s="188" t="s">
        <v>181</v>
      </c>
      <c r="F73" s="74">
        <v>300</v>
      </c>
      <c r="G73" s="75">
        <v>579.5</v>
      </c>
      <c r="H73" s="153">
        <f>SUM(Tabela134568791011121324356789101112236457891011132345678911101223567891011131423465789101112[[#This Row],[VA]:[VR]])</f>
        <v>879.5</v>
      </c>
      <c r="I73" s="63" t="s">
        <v>179</v>
      </c>
      <c r="J73" s="80" t="s">
        <v>158</v>
      </c>
      <c r="K73" s="80" t="s">
        <v>181</v>
      </c>
      <c r="L73" s="80"/>
      <c r="M73" s="80"/>
      <c r="N73" s="168">
        <f>SUM(Tabela134568791011121324356789101112236457891011132345678911101223567891011131423465789101112[[#This Row],[VC]:[VT]])</f>
        <v>0</v>
      </c>
      <c r="O73" s="203" t="str">
        <f>IF(Tabela134568791011121324356789101112236457891011132345678911101223567891011131423465789101112[[#This Row],[CENTRO CUSTO]]&gt;=53000,"2 SERV","1 PEÇAS")</f>
        <v>2 SERV</v>
      </c>
      <c r="P73" s="163">
        <v>19</v>
      </c>
      <c r="Q73" s="7">
        <v>19</v>
      </c>
      <c r="R73" s="8"/>
      <c r="S73" s="9"/>
      <c r="T73" s="128"/>
    </row>
    <row r="74" spans="1:20" x14ac:dyDescent="0.25">
      <c r="A74" s="124" t="s">
        <v>92</v>
      </c>
      <c r="B74" s="7" t="s">
        <v>151</v>
      </c>
      <c r="C74" s="73">
        <v>53213</v>
      </c>
      <c r="D74" s="152" t="s">
        <v>172</v>
      </c>
      <c r="E74" s="188" t="s">
        <v>180</v>
      </c>
      <c r="F74" s="74">
        <v>300</v>
      </c>
      <c r="G74" s="75">
        <v>579.5</v>
      </c>
      <c r="H74" s="153">
        <f>SUM(Tabela134568791011121324356789101112236457891011132345678911101223567891011131423465789101112[[#This Row],[VA]:[VR]])</f>
        <v>879.5</v>
      </c>
      <c r="I74" s="63" t="s">
        <v>179</v>
      </c>
      <c r="J74" s="80" t="s">
        <v>158</v>
      </c>
      <c r="K74" s="80" t="s">
        <v>180</v>
      </c>
      <c r="L74" s="80"/>
      <c r="M74" s="80"/>
      <c r="N74" s="168">
        <f>SUM(Tabela134568791011121324356789101112236457891011132345678911101223567891011131423465789101112[[#This Row],[VC]:[VT]])</f>
        <v>0</v>
      </c>
      <c r="O74" s="203" t="str">
        <f>IF(Tabela134568791011121324356789101112236457891011132345678911101223567891011131423465789101112[[#This Row],[CENTRO CUSTO]]&gt;=53000,"2 SERV","1 PEÇAS")</f>
        <v>2 SERV</v>
      </c>
      <c r="P74" s="163">
        <v>19</v>
      </c>
      <c r="Q74" s="7">
        <v>19</v>
      </c>
      <c r="R74" s="8"/>
      <c r="S74" s="9"/>
      <c r="T74" s="126"/>
    </row>
    <row r="75" spans="1:20" x14ac:dyDescent="0.25">
      <c r="A75" s="130" t="s">
        <v>93</v>
      </c>
      <c r="B75" s="7" t="s">
        <v>151</v>
      </c>
      <c r="C75" s="147">
        <v>53211</v>
      </c>
      <c r="D75" s="156" t="s">
        <v>172</v>
      </c>
      <c r="E75" s="191" t="s">
        <v>180</v>
      </c>
      <c r="F75" s="76"/>
      <c r="G75" s="77">
        <v>427</v>
      </c>
      <c r="H75" s="157">
        <f>SUM(Tabela134568791011121324356789101112236457891011132345678911101223567891011131423465789101112[[#This Row],[VA]:[VR]])</f>
        <v>427</v>
      </c>
      <c r="I75" s="63" t="s">
        <v>179</v>
      </c>
      <c r="J75" s="80" t="s">
        <v>158</v>
      </c>
      <c r="K75" s="80" t="s">
        <v>180</v>
      </c>
      <c r="L75" s="80"/>
      <c r="M75" s="80"/>
      <c r="N75" s="168">
        <f>SUM(Tabela134568791011121324356789101112236457891011132345678911101223567891011131423465789101112[[#This Row],[VC]:[VT]])</f>
        <v>0</v>
      </c>
      <c r="O75" s="203" t="str">
        <f>IF(Tabela134568791011121324356789101112236457891011132345678911101223567891011131423465789101112[[#This Row],[CENTRO CUSTO]]&gt;=53000,"2 SERV","1 PEÇAS")</f>
        <v>2 SERV</v>
      </c>
      <c r="P75" s="164">
        <v>19</v>
      </c>
      <c r="Q75" s="10">
        <v>14</v>
      </c>
      <c r="R75" s="11"/>
      <c r="S75" s="12"/>
      <c r="T75" s="125" t="s">
        <v>94</v>
      </c>
    </row>
    <row r="76" spans="1:20" x14ac:dyDescent="0.25">
      <c r="A76" s="124" t="s">
        <v>95</v>
      </c>
      <c r="B76" s="7" t="s">
        <v>151</v>
      </c>
      <c r="C76" s="145">
        <v>52100</v>
      </c>
      <c r="D76" s="154" t="s">
        <v>173</v>
      </c>
      <c r="E76" s="189" t="s">
        <v>180</v>
      </c>
      <c r="F76" s="74"/>
      <c r="G76" s="75">
        <v>579.5</v>
      </c>
      <c r="H76" s="153">
        <f>SUM(Tabela134568791011121324356789101112236457891011132345678911101223567891011131423465789101112[[#This Row],[VA]:[VR]])</f>
        <v>579.5</v>
      </c>
      <c r="I76" s="63" t="s">
        <v>179</v>
      </c>
      <c r="J76" s="80" t="s">
        <v>183</v>
      </c>
      <c r="K76" s="80" t="s">
        <v>180</v>
      </c>
      <c r="L76" s="80">
        <v>300</v>
      </c>
      <c r="M76" s="80"/>
      <c r="N76" s="168">
        <f>SUM(Tabela134568791011121324356789101112236457891011132345678911101223567891011131423465789101112[[#This Row],[VC]:[VT]])</f>
        <v>300</v>
      </c>
      <c r="O76" s="203" t="str">
        <f>IF(Tabela134568791011121324356789101112236457891011132345678911101223567891011131423465789101112[[#This Row],[CENTRO CUSTO]]&gt;=53000,"2 SERV","1 PEÇAS")</f>
        <v>1 PEÇAS</v>
      </c>
      <c r="P76" s="163">
        <v>19</v>
      </c>
      <c r="Q76" s="7">
        <v>19</v>
      </c>
      <c r="R76" s="8"/>
      <c r="S76" s="9"/>
      <c r="T76" s="128"/>
    </row>
    <row r="77" spans="1:20" x14ac:dyDescent="0.25">
      <c r="A77" s="130" t="s">
        <v>96</v>
      </c>
      <c r="B77" s="7" t="s">
        <v>151</v>
      </c>
      <c r="C77" s="147">
        <v>53210</v>
      </c>
      <c r="D77" s="156" t="s">
        <v>172</v>
      </c>
      <c r="E77" s="191" t="s">
        <v>180</v>
      </c>
      <c r="F77" s="76"/>
      <c r="G77" s="77">
        <v>183</v>
      </c>
      <c r="H77" s="157">
        <f>SUM(Tabela134568791011121324356789101112236457891011132345678911101223567891011131423465789101112[[#This Row],[VA]:[VR]])</f>
        <v>183</v>
      </c>
      <c r="I77" s="63" t="s">
        <v>179</v>
      </c>
      <c r="J77" s="80" t="s">
        <v>158</v>
      </c>
      <c r="K77" s="80" t="s">
        <v>180</v>
      </c>
      <c r="L77" s="80"/>
      <c r="M77" s="80"/>
      <c r="N77" s="168">
        <f>SUM(Tabela134568791011121324356789101112236457891011132345678911101223567891011131423465789101112[[#This Row],[VC]:[VT]])</f>
        <v>0</v>
      </c>
      <c r="O77" s="203" t="str">
        <f>IF(Tabela134568791011121324356789101112236457891011132345678911101223567891011131423465789101112[[#This Row],[CENTRO CUSTO]]&gt;=53000,"2 SERV","1 PEÇAS")</f>
        <v>2 SERV</v>
      </c>
      <c r="P77" s="164">
        <v>19</v>
      </c>
      <c r="Q77" s="10">
        <v>6</v>
      </c>
      <c r="R77" s="11"/>
      <c r="S77" s="12"/>
      <c r="T77" s="125" t="s">
        <v>97</v>
      </c>
    </row>
    <row r="78" spans="1:20" x14ac:dyDescent="0.25">
      <c r="A78" s="124" t="s">
        <v>98</v>
      </c>
      <c r="B78" s="7" t="s">
        <v>151</v>
      </c>
      <c r="C78" s="73">
        <v>51700</v>
      </c>
      <c r="D78" s="152" t="s">
        <v>174</v>
      </c>
      <c r="E78" s="188" t="s">
        <v>181</v>
      </c>
      <c r="F78" s="74">
        <v>300</v>
      </c>
      <c r="G78" s="75">
        <v>579.5</v>
      </c>
      <c r="H78" s="153">
        <f>SUM(Tabela134568791011121324356789101112236457891011132345678911101223567891011131423465789101112[[#This Row],[VA]:[VR]])</f>
        <v>879.5</v>
      </c>
      <c r="I78" s="63" t="s">
        <v>179</v>
      </c>
      <c r="J78" s="80" t="s">
        <v>160</v>
      </c>
      <c r="K78" s="80" t="s">
        <v>181</v>
      </c>
      <c r="L78" s="80"/>
      <c r="M78" s="80"/>
      <c r="N78" s="168">
        <f>SUM(Tabela134568791011121324356789101112236457891011132345678911101223567891011131423465789101112[[#This Row],[VC]:[VT]])</f>
        <v>0</v>
      </c>
      <c r="O78" s="203" t="str">
        <f>IF(Tabela134568791011121324356789101112236457891011132345678911101223567891011131423465789101112[[#This Row],[CENTRO CUSTO]]&gt;=53000,"2 SERV","1 PEÇAS")</f>
        <v>1 PEÇAS</v>
      </c>
      <c r="P78" s="163">
        <v>19</v>
      </c>
      <c r="Q78" s="7">
        <v>19</v>
      </c>
      <c r="R78" s="8"/>
      <c r="S78" s="9"/>
      <c r="T78" s="126"/>
    </row>
    <row r="79" spans="1:20" x14ac:dyDescent="0.25">
      <c r="A79" s="124" t="s">
        <v>99</v>
      </c>
      <c r="B79" s="7" t="s">
        <v>151</v>
      </c>
      <c r="C79" s="73">
        <v>53000</v>
      </c>
      <c r="D79" s="152" t="s">
        <v>173</v>
      </c>
      <c r="E79" s="188" t="s">
        <v>180</v>
      </c>
      <c r="F79" s="74"/>
      <c r="G79" s="75">
        <v>579.5</v>
      </c>
      <c r="H79" s="153">
        <f>SUM(Tabela134568791011121324356789101112236457891011132345678911101223567891011131423465789101112[[#This Row],[VA]:[VR]])</f>
        <v>579.5</v>
      </c>
      <c r="I79" s="63" t="s">
        <v>179</v>
      </c>
      <c r="J79" s="80" t="s">
        <v>183</v>
      </c>
      <c r="K79" s="80" t="s">
        <v>180</v>
      </c>
      <c r="L79" s="80"/>
      <c r="M79" s="80"/>
      <c r="N79" s="168">
        <f>SUM(Tabela134568791011121324356789101112236457891011132345678911101223567891011131423465789101112[[#This Row],[VC]:[VT]])</f>
        <v>0</v>
      </c>
      <c r="O79" s="203" t="str">
        <f>IF(Tabela134568791011121324356789101112236457891011132345678911101223567891011131423465789101112[[#This Row],[CENTRO CUSTO]]&gt;=53000,"2 SERV","1 PEÇAS")</f>
        <v>2 SERV</v>
      </c>
      <c r="P79" s="163">
        <v>19</v>
      </c>
      <c r="Q79" s="7">
        <v>19</v>
      </c>
      <c r="R79" s="8"/>
      <c r="S79" s="9"/>
      <c r="T79" s="126"/>
    </row>
    <row r="80" spans="1:20" x14ac:dyDescent="0.25">
      <c r="A80" s="130" t="s">
        <v>100</v>
      </c>
      <c r="B80" s="7" t="s">
        <v>151</v>
      </c>
      <c r="C80" s="147" t="s">
        <v>14</v>
      </c>
      <c r="D80" s="156" t="s">
        <v>173</v>
      </c>
      <c r="E80" s="191" t="s">
        <v>180</v>
      </c>
      <c r="F80" s="76">
        <v>300</v>
      </c>
      <c r="G80" s="77">
        <v>549</v>
      </c>
      <c r="H80" s="157">
        <f>SUM(Tabela134568791011121324356789101112236457891011132345678911101223567891011131423465789101112[[#This Row],[VA]:[VR]])</f>
        <v>849</v>
      </c>
      <c r="I80" s="63" t="s">
        <v>179</v>
      </c>
      <c r="J80" s="80" t="s">
        <v>183</v>
      </c>
      <c r="K80" s="80" t="s">
        <v>180</v>
      </c>
      <c r="L80" s="80"/>
      <c r="M80" s="80"/>
      <c r="N80" s="168">
        <f>SUM(Tabela134568791011121324356789101112236457891011132345678911101223567891011131423465789101112[[#This Row],[VC]:[VT]])</f>
        <v>0</v>
      </c>
      <c r="O80" s="203" t="str">
        <f>IF(Tabela134568791011121324356789101112236457891011132345678911101223567891011131423465789101112[[#This Row],[CENTRO CUSTO]]&gt;=53000,"2 SERV","1 PEÇAS")</f>
        <v>2 SERV</v>
      </c>
      <c r="P80" s="164">
        <v>19</v>
      </c>
      <c r="Q80" s="10">
        <v>18</v>
      </c>
      <c r="R80" s="11"/>
      <c r="S80" s="12"/>
      <c r="T80" s="127" t="s">
        <v>67</v>
      </c>
    </row>
    <row r="81" spans="1:20" x14ac:dyDescent="0.25">
      <c r="A81" s="130" t="s">
        <v>101</v>
      </c>
      <c r="B81" s="7" t="s">
        <v>151</v>
      </c>
      <c r="C81" s="147" t="s">
        <v>102</v>
      </c>
      <c r="D81" s="156" t="s">
        <v>174</v>
      </c>
      <c r="E81" s="191" t="s">
        <v>180</v>
      </c>
      <c r="F81" s="76"/>
      <c r="G81" s="77">
        <v>549</v>
      </c>
      <c r="H81" s="157">
        <f>SUM(Tabela134568791011121324356789101112236457891011132345678911101223567891011131423465789101112[[#This Row],[VA]:[VR]])</f>
        <v>549</v>
      </c>
      <c r="I81" s="63" t="s">
        <v>179</v>
      </c>
      <c r="J81" s="80" t="s">
        <v>160</v>
      </c>
      <c r="K81" s="80" t="s">
        <v>180</v>
      </c>
      <c r="L81" s="80"/>
      <c r="M81" s="80"/>
      <c r="N81" s="168">
        <f>SUM(Tabela134568791011121324356789101112236457891011132345678911101223567891011131423465789101112[[#This Row],[VC]:[VT]])</f>
        <v>0</v>
      </c>
      <c r="O81" s="203" t="str">
        <f>IF(Tabela134568791011121324356789101112236457891011132345678911101223567891011131423465789101112[[#This Row],[CENTRO CUSTO]]&gt;=53000,"2 SERV","1 PEÇAS")</f>
        <v>2 SERV</v>
      </c>
      <c r="P81" s="164">
        <v>19</v>
      </c>
      <c r="Q81" s="10">
        <v>18</v>
      </c>
      <c r="R81" s="11"/>
      <c r="S81" s="12"/>
      <c r="T81" s="125" t="s">
        <v>103</v>
      </c>
    </row>
    <row r="82" spans="1:20" x14ac:dyDescent="0.25">
      <c r="A82" s="124" t="s">
        <v>104</v>
      </c>
      <c r="B82" s="7" t="s">
        <v>151</v>
      </c>
      <c r="C82" s="73">
        <v>51104</v>
      </c>
      <c r="D82" s="152" t="s">
        <v>174</v>
      </c>
      <c r="E82" s="188" t="s">
        <v>181</v>
      </c>
      <c r="F82" s="74"/>
      <c r="G82" s="75">
        <v>579.5</v>
      </c>
      <c r="H82" s="153">
        <f>SUM(Tabela134568791011121324356789101112236457891011132345678911101223567891011131423465789101112[[#This Row],[VA]:[VR]])</f>
        <v>579.5</v>
      </c>
      <c r="I82" s="63" t="s">
        <v>179</v>
      </c>
      <c r="J82" s="80" t="s">
        <v>160</v>
      </c>
      <c r="K82" s="80" t="s">
        <v>181</v>
      </c>
      <c r="L82" s="80"/>
      <c r="M82" s="80"/>
      <c r="N82" s="168">
        <f>SUM(Tabela134568791011121324356789101112236457891011132345678911101223567891011131423465789101112[[#This Row],[VC]:[VT]])</f>
        <v>0</v>
      </c>
      <c r="O82" s="203" t="str">
        <f>IF(Tabela134568791011121324356789101112236457891011132345678911101223567891011131423465789101112[[#This Row],[CENTRO CUSTO]]&gt;=53000,"2 SERV","1 PEÇAS")</f>
        <v>1 PEÇAS</v>
      </c>
      <c r="P82" s="163">
        <v>19</v>
      </c>
      <c r="Q82" s="7">
        <v>19</v>
      </c>
      <c r="R82" s="8"/>
      <c r="S82" s="9"/>
      <c r="T82" s="126"/>
    </row>
    <row r="83" spans="1:20" x14ac:dyDescent="0.25">
      <c r="A83" s="135" t="s">
        <v>105</v>
      </c>
      <c r="B83" s="7" t="s">
        <v>151</v>
      </c>
      <c r="C83" s="73">
        <v>52300</v>
      </c>
      <c r="D83" s="152" t="s">
        <v>173</v>
      </c>
      <c r="E83" s="188" t="s">
        <v>180</v>
      </c>
      <c r="F83" s="74">
        <v>300</v>
      </c>
      <c r="G83" s="75">
        <v>579.5</v>
      </c>
      <c r="H83" s="153">
        <f>SUM(Tabela134568791011121324356789101112236457891011132345678911101223567891011131423465789101112[[#This Row],[VA]:[VR]])</f>
        <v>879.5</v>
      </c>
      <c r="I83" s="63" t="s">
        <v>179</v>
      </c>
      <c r="J83" s="80" t="s">
        <v>183</v>
      </c>
      <c r="K83" s="80" t="s">
        <v>180</v>
      </c>
      <c r="L83" s="80"/>
      <c r="M83" s="80"/>
      <c r="N83" s="168">
        <f>SUM(Tabela134568791011121324356789101112236457891011132345678911101223567891011131423465789101112[[#This Row],[VC]:[VT]])</f>
        <v>0</v>
      </c>
      <c r="O83" s="203" t="str">
        <f>IF(Tabela134568791011121324356789101112236457891011132345678911101223567891011131423465789101112[[#This Row],[CENTRO CUSTO]]&gt;=53000,"2 SERV","1 PEÇAS")</f>
        <v>1 PEÇAS</v>
      </c>
      <c r="P83" s="163">
        <v>19</v>
      </c>
      <c r="Q83" s="7">
        <v>19</v>
      </c>
      <c r="R83" s="8"/>
      <c r="S83" s="9"/>
      <c r="T83" s="127"/>
    </row>
    <row r="84" spans="1:20" x14ac:dyDescent="0.25">
      <c r="A84" s="124" t="s">
        <v>106</v>
      </c>
      <c r="B84" s="7" t="s">
        <v>151</v>
      </c>
      <c r="C84" s="73">
        <v>53200</v>
      </c>
      <c r="D84" s="152" t="s">
        <v>172</v>
      </c>
      <c r="E84" s="188" t="s">
        <v>181</v>
      </c>
      <c r="F84" s="74">
        <v>300</v>
      </c>
      <c r="G84" s="75">
        <v>579.5</v>
      </c>
      <c r="H84" s="153">
        <f>SUM(Tabela134568791011121324356789101112236457891011132345678911101223567891011131423465789101112[[#This Row],[VA]:[VR]])</f>
        <v>879.5</v>
      </c>
      <c r="I84" s="63" t="s">
        <v>179</v>
      </c>
      <c r="J84" s="80" t="s">
        <v>158</v>
      </c>
      <c r="K84" s="80" t="s">
        <v>181</v>
      </c>
      <c r="L84" s="80"/>
      <c r="M84" s="80"/>
      <c r="N84" s="168">
        <f>SUM(Tabela134568791011121324356789101112236457891011132345678911101223567891011131423465789101112[[#This Row],[VC]:[VT]])</f>
        <v>0</v>
      </c>
      <c r="O84" s="203" t="str">
        <f>IF(Tabela134568791011121324356789101112236457891011132345678911101223567891011131423465789101112[[#This Row],[CENTRO CUSTO]]&gt;=53000,"2 SERV","1 PEÇAS")</f>
        <v>2 SERV</v>
      </c>
      <c r="P84" s="163">
        <v>19</v>
      </c>
      <c r="Q84" s="7">
        <v>19</v>
      </c>
      <c r="R84" s="8"/>
      <c r="S84" s="9"/>
      <c r="T84" s="128"/>
    </row>
    <row r="85" spans="1:20" x14ac:dyDescent="0.25">
      <c r="A85" s="124" t="s">
        <v>107</v>
      </c>
      <c r="B85" s="7" t="s">
        <v>151</v>
      </c>
      <c r="C85" s="145">
        <v>53110</v>
      </c>
      <c r="D85" s="154" t="s">
        <v>172</v>
      </c>
      <c r="E85" s="189" t="s">
        <v>180</v>
      </c>
      <c r="F85" s="74"/>
      <c r="G85" s="75">
        <v>579.5</v>
      </c>
      <c r="H85" s="153">
        <f>SUM(Tabela134568791011121324356789101112236457891011132345678911101223567891011131423465789101112[[#This Row],[VA]:[VR]])</f>
        <v>579.5</v>
      </c>
      <c r="I85" s="63" t="s">
        <v>179</v>
      </c>
      <c r="J85" s="80" t="s">
        <v>158</v>
      </c>
      <c r="K85" s="80" t="s">
        <v>180</v>
      </c>
      <c r="L85" s="80"/>
      <c r="M85" s="80"/>
      <c r="N85" s="168">
        <f>SUM(Tabela134568791011121324356789101112236457891011132345678911101223567891011131423465789101112[[#This Row],[VC]:[VT]])</f>
        <v>0</v>
      </c>
      <c r="O85" s="203" t="str">
        <f>IF(Tabela134568791011121324356789101112236457891011132345678911101223567891011131423465789101112[[#This Row],[CENTRO CUSTO]]&gt;=53000,"2 SERV","1 PEÇAS")</f>
        <v>2 SERV</v>
      </c>
      <c r="P85" s="163">
        <v>19</v>
      </c>
      <c r="Q85" s="7">
        <v>19</v>
      </c>
      <c r="R85" s="8"/>
      <c r="S85" s="9"/>
      <c r="T85" s="126"/>
    </row>
    <row r="86" spans="1:20" x14ac:dyDescent="0.25">
      <c r="A86" s="124" t="s">
        <v>108</v>
      </c>
      <c r="B86" s="7" t="s">
        <v>151</v>
      </c>
      <c r="C86" s="145">
        <v>51500</v>
      </c>
      <c r="D86" s="154" t="s">
        <v>174</v>
      </c>
      <c r="E86" s="189" t="s">
        <v>182</v>
      </c>
      <c r="F86" s="74"/>
      <c r="G86" s="75">
        <v>579.5</v>
      </c>
      <c r="H86" s="153">
        <f>SUM(Tabela134568791011121324356789101112236457891011132345678911101223567891011131423465789101112[[#This Row],[VA]:[VR]])</f>
        <v>579.5</v>
      </c>
      <c r="I86" s="63" t="s">
        <v>179</v>
      </c>
      <c r="J86" s="80" t="s">
        <v>160</v>
      </c>
      <c r="K86" s="80" t="s">
        <v>182</v>
      </c>
      <c r="L86" s="80">
        <v>300</v>
      </c>
      <c r="M86" s="80"/>
      <c r="N86" s="168">
        <f>SUM(Tabela134568791011121324356789101112236457891011132345678911101223567891011131423465789101112[[#This Row],[VC]:[VT]])</f>
        <v>300</v>
      </c>
      <c r="O86" s="203" t="str">
        <f>IF(Tabela134568791011121324356789101112236457891011132345678911101223567891011131423465789101112[[#This Row],[CENTRO CUSTO]]&gt;=53000,"2 SERV","1 PEÇAS")</f>
        <v>1 PEÇAS</v>
      </c>
      <c r="P86" s="163">
        <v>19</v>
      </c>
      <c r="Q86" s="7">
        <v>19</v>
      </c>
      <c r="R86" s="8"/>
      <c r="S86" s="9"/>
      <c r="T86" s="127"/>
    </row>
    <row r="87" spans="1:20" ht="15.75" thickBot="1" x14ac:dyDescent="0.3">
      <c r="A87" s="136" t="s">
        <v>109</v>
      </c>
      <c r="B87" s="137" t="s">
        <v>151</v>
      </c>
      <c r="C87" s="151">
        <v>53300</v>
      </c>
      <c r="D87" s="161" t="s">
        <v>172</v>
      </c>
      <c r="E87" s="194" t="s">
        <v>180</v>
      </c>
      <c r="F87" s="139">
        <v>300</v>
      </c>
      <c r="G87" s="140">
        <v>640.5</v>
      </c>
      <c r="H87" s="162">
        <f>SUM(Tabela134568791011121324356789101112236457891011132345678911101223567891011131423465789101112[[#This Row],[VA]:[VR]])</f>
        <v>940.5</v>
      </c>
      <c r="I87" s="63" t="s">
        <v>179</v>
      </c>
      <c r="J87" s="141" t="s">
        <v>158</v>
      </c>
      <c r="K87" s="141" t="s">
        <v>180</v>
      </c>
      <c r="L87" s="141"/>
      <c r="M87" s="141"/>
      <c r="N87" s="169">
        <f>SUM(Tabela134568791011121324356789101112236457891011132345678911101223567891011131423465789101112[[#This Row],[VC]:[VT]])</f>
        <v>0</v>
      </c>
      <c r="O87" s="204" t="str">
        <f>IF(Tabela134568791011121324356789101112236457891011132345678911101223567891011131423465789101112[[#This Row],[CENTRO CUSTO]]&gt;=53000,"2 SERV","1 PEÇAS")</f>
        <v>2 SERV</v>
      </c>
      <c r="P87" s="167">
        <v>19</v>
      </c>
      <c r="Q87" s="138">
        <v>21</v>
      </c>
      <c r="R87" s="142"/>
      <c r="S87" s="143"/>
      <c r="T87" s="144" t="s">
        <v>110</v>
      </c>
    </row>
    <row r="88" spans="1:20" x14ac:dyDescent="0.25">
      <c r="A88" s="67" t="s">
        <v>42</v>
      </c>
      <c r="B88" s="68"/>
      <c r="C88" s="68"/>
      <c r="D88" s="68"/>
      <c r="E88" s="68"/>
      <c r="F88" s="68"/>
      <c r="G88" s="68"/>
      <c r="H88" s="171">
        <f>SUM(H32:H87)</f>
        <v>39778.699999999997</v>
      </c>
      <c r="I88" s="171"/>
      <c r="J88" s="171"/>
      <c r="K88" s="171"/>
      <c r="L88" s="171">
        <f>SUM(L32:L87)</f>
        <v>1200</v>
      </c>
      <c r="M88" s="171">
        <f>SUM(M32:M87)</f>
        <v>994.65</v>
      </c>
      <c r="N88" s="171">
        <f>SUM(Tabela134568791011121324356789101112236457891011132345678911101223567891011131423465789101112[[#This Row],[VC]:[VT]])</f>
        <v>2194.65</v>
      </c>
      <c r="O88" s="171"/>
      <c r="P88" s="68"/>
      <c r="Q88" s="70"/>
      <c r="R88" s="69">
        <f t="shared" ref="R88" si="0">SUM(R32:R87)</f>
        <v>0</v>
      </c>
      <c r="S88" s="69">
        <f>SUM(S32:S87)</f>
        <v>0</v>
      </c>
      <c r="T88" s="71" t="e">
        <f>SUM(#REF!+#REF!+R88+S88)</f>
        <v>#REF!</v>
      </c>
    </row>
    <row r="89" spans="1:20" x14ac:dyDescent="0.25">
      <c r="A89" s="82"/>
      <c r="B89" s="83"/>
      <c r="C89" s="175"/>
      <c r="D89" s="176"/>
      <c r="E89" s="176"/>
      <c r="F89" s="176"/>
      <c r="G89" s="176"/>
      <c r="H89" s="86"/>
      <c r="I89" s="86"/>
      <c r="J89" s="86"/>
      <c r="K89" s="170" t="s">
        <v>176</v>
      </c>
      <c r="L89" s="170">
        <f>SUM(H88+L88+M88)</f>
        <v>41973.35</v>
      </c>
      <c r="M89" s="86"/>
      <c r="N89" s="86"/>
      <c r="O89" s="86"/>
      <c r="P89" s="83"/>
      <c r="Q89" s="83"/>
      <c r="R89" s="87"/>
      <c r="S89" s="86"/>
      <c r="T89" s="88"/>
    </row>
    <row r="90" spans="1:20" ht="15.75" thickBot="1" x14ac:dyDescent="0.3">
      <c r="A90" s="172" t="s">
        <v>111</v>
      </c>
      <c r="B90" s="22"/>
      <c r="C90" s="177"/>
      <c r="D90" s="177"/>
      <c r="E90" s="177"/>
      <c r="F90" s="177"/>
      <c r="G90" s="177"/>
      <c r="H90" s="177"/>
      <c r="I90" s="177"/>
      <c r="J90" s="177"/>
      <c r="K90" s="177"/>
      <c r="L90" s="177"/>
      <c r="M90" s="177"/>
      <c r="N90" s="177"/>
      <c r="O90" s="177"/>
      <c r="P90" s="177"/>
      <c r="Q90" s="177"/>
      <c r="R90" s="177"/>
      <c r="S90" s="177"/>
      <c r="T90" s="58"/>
    </row>
    <row r="91" spans="1:20" ht="15.75" thickBot="1" x14ac:dyDescent="0.3">
      <c r="A91" s="20">
        <v>45621</v>
      </c>
      <c r="B91" s="23"/>
      <c r="C91" s="177"/>
      <c r="D91" s="177"/>
      <c r="E91" s="177"/>
      <c r="F91" s="177"/>
      <c r="G91" s="177"/>
      <c r="H91" s="177"/>
      <c r="I91" s="177"/>
      <c r="J91" s="177"/>
      <c r="K91" s="177"/>
      <c r="L91" s="177"/>
      <c r="M91" s="177"/>
      <c r="N91" s="177"/>
      <c r="O91" s="177"/>
      <c r="P91" s="177"/>
      <c r="Q91" s="177"/>
      <c r="R91" s="177"/>
      <c r="S91" s="177"/>
      <c r="T91" s="58"/>
    </row>
    <row r="92" spans="1:20" ht="15.75" thickBot="1" x14ac:dyDescent="0.3">
      <c r="A92" s="19" t="s">
        <v>112</v>
      </c>
      <c r="B92" s="22"/>
      <c r="C92" s="177"/>
      <c r="D92" s="177"/>
      <c r="E92" s="177"/>
      <c r="F92" s="177"/>
      <c r="G92" s="177"/>
      <c r="H92" s="177"/>
      <c r="I92" s="177"/>
      <c r="J92" s="177"/>
      <c r="K92" s="177"/>
      <c r="L92" s="177"/>
      <c r="M92" s="177"/>
      <c r="N92" s="177"/>
      <c r="O92" s="177"/>
      <c r="P92" s="177"/>
      <c r="Q92" s="177"/>
      <c r="R92" s="177"/>
      <c r="S92" s="177"/>
      <c r="T92" s="58"/>
    </row>
    <row r="93" spans="1:20" ht="15.75" thickBot="1" x14ac:dyDescent="0.3">
      <c r="A93" s="20">
        <v>45621</v>
      </c>
      <c r="B93" s="23"/>
      <c r="C93" s="177"/>
      <c r="D93" s="177"/>
      <c r="E93" s="177"/>
      <c r="F93" s="177"/>
      <c r="G93" s="177"/>
      <c r="H93" s="177"/>
      <c r="I93" s="177"/>
      <c r="J93" s="177"/>
      <c r="K93" s="177"/>
      <c r="L93" s="177"/>
      <c r="M93" s="177"/>
      <c r="N93" s="177"/>
      <c r="O93" s="177"/>
      <c r="P93" s="177"/>
      <c r="Q93" s="177"/>
      <c r="R93" s="177"/>
      <c r="S93" s="177"/>
      <c r="T93" s="58"/>
    </row>
    <row r="94" spans="1:20" ht="15.75" thickBot="1" x14ac:dyDescent="0.3">
      <c r="A94" s="19" t="s">
        <v>113</v>
      </c>
      <c r="B94" s="22"/>
      <c r="C94" s="177"/>
      <c r="D94" s="177"/>
      <c r="E94" s="177"/>
      <c r="F94" s="177"/>
      <c r="G94" s="177"/>
      <c r="H94" s="177"/>
      <c r="I94" s="177"/>
      <c r="J94" s="177"/>
      <c r="K94" s="177"/>
      <c r="L94" s="177"/>
      <c r="M94" s="177"/>
      <c r="N94" s="177"/>
      <c r="O94" s="177"/>
      <c r="P94" s="177"/>
      <c r="Q94" s="177"/>
      <c r="R94" s="177"/>
      <c r="S94" s="177"/>
      <c r="T94" s="58"/>
    </row>
    <row r="95" spans="1:20" ht="15.75" thickBot="1" x14ac:dyDescent="0.3">
      <c r="A95" s="20">
        <v>45622</v>
      </c>
      <c r="B95" s="23"/>
      <c r="C95" s="177"/>
      <c r="D95" s="177"/>
      <c r="E95" s="177"/>
      <c r="F95" s="177"/>
      <c r="G95" s="177"/>
      <c r="H95" s="177"/>
      <c r="I95" s="177"/>
      <c r="J95" s="177"/>
      <c r="K95" s="177"/>
      <c r="L95" s="177"/>
      <c r="M95" s="177"/>
      <c r="N95" s="177"/>
      <c r="O95" s="177"/>
      <c r="P95" s="177"/>
      <c r="Q95" s="177"/>
      <c r="R95" s="177"/>
      <c r="S95" s="177"/>
      <c r="T95" s="58"/>
    </row>
    <row r="96" spans="1:20" x14ac:dyDescent="0.25">
      <c r="A96" s="58"/>
      <c r="B96" s="59"/>
      <c r="C96" s="58"/>
      <c r="D96" s="58"/>
      <c r="E96" s="58"/>
      <c r="F96" s="58"/>
      <c r="G96" s="58"/>
      <c r="H96" s="58"/>
      <c r="I96" s="58"/>
      <c r="J96" s="58"/>
      <c r="K96" s="58"/>
      <c r="L96" s="58"/>
      <c r="M96" s="58"/>
      <c r="N96" s="58"/>
      <c r="O96" s="58"/>
      <c r="P96" s="58"/>
      <c r="Q96" s="58"/>
      <c r="R96" s="58"/>
      <c r="S96" s="58"/>
      <c r="T96" s="58"/>
    </row>
    <row r="97" spans="1:20" x14ac:dyDescent="0.25">
      <c r="A97" s="58"/>
      <c r="B97" s="59"/>
      <c r="C97" s="58"/>
      <c r="D97" s="58"/>
      <c r="E97" s="58"/>
      <c r="F97" s="58"/>
      <c r="G97" s="58"/>
      <c r="H97" s="58"/>
      <c r="I97" s="58"/>
      <c r="J97" s="58"/>
      <c r="K97" s="58"/>
      <c r="L97" s="58"/>
      <c r="M97" s="58"/>
      <c r="N97" s="58"/>
      <c r="O97" s="58"/>
      <c r="P97" s="58"/>
      <c r="Q97" s="58"/>
      <c r="R97" s="58"/>
      <c r="S97" s="58"/>
      <c r="T97" s="58"/>
    </row>
    <row r="98" spans="1:20" x14ac:dyDescent="0.25">
      <c r="A98" s="58"/>
      <c r="B98" s="59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58"/>
      <c r="P98" s="58"/>
      <c r="Q98" s="58"/>
      <c r="R98" s="58"/>
      <c r="S98" s="58"/>
      <c r="T98" s="58"/>
    </row>
    <row r="99" spans="1:20" x14ac:dyDescent="0.25">
      <c r="A99" s="58"/>
      <c r="B99" s="59"/>
      <c r="C99" s="58"/>
      <c r="D99" s="58"/>
      <c r="E99" s="58"/>
      <c r="F99" s="58"/>
      <c r="G99" s="58"/>
      <c r="H99" s="58"/>
      <c r="I99" s="58"/>
      <c r="J99" s="58"/>
      <c r="K99" s="58"/>
      <c r="L99" s="58"/>
      <c r="M99" s="58"/>
      <c r="N99" s="58"/>
      <c r="O99" s="58"/>
      <c r="P99" s="58"/>
      <c r="Q99" s="58"/>
      <c r="R99" s="58"/>
      <c r="S99" s="58"/>
      <c r="T99" s="58"/>
    </row>
    <row r="100" spans="1:20" x14ac:dyDescent="0.25">
      <c r="A100" s="58"/>
      <c r="B100" s="59"/>
      <c r="C100" s="58"/>
      <c r="D100" s="58"/>
      <c r="E100" s="58"/>
      <c r="F100" s="58"/>
      <c r="G100" s="58"/>
      <c r="H100" s="58"/>
      <c r="I100" s="58"/>
      <c r="J100" s="58"/>
      <c r="K100" s="58"/>
      <c r="L100" s="58"/>
      <c r="M100" s="58"/>
      <c r="N100" s="58"/>
      <c r="O100" s="58"/>
      <c r="P100" s="58"/>
      <c r="Q100" s="58"/>
      <c r="R100" s="58"/>
      <c r="S100" s="58"/>
      <c r="T100" s="58"/>
    </row>
    <row r="101" spans="1:20" x14ac:dyDescent="0.25">
      <c r="A101" s="58"/>
      <c r="B101" s="59"/>
      <c r="C101" s="58"/>
      <c r="D101" s="58"/>
      <c r="E101" s="58"/>
      <c r="F101" s="58"/>
      <c r="G101" s="58"/>
      <c r="H101" s="58"/>
      <c r="I101" s="58"/>
      <c r="J101" s="58"/>
      <c r="K101" s="58"/>
      <c r="L101" s="58"/>
      <c r="M101" s="58"/>
      <c r="N101" s="58"/>
      <c r="O101" s="58"/>
      <c r="P101" s="58"/>
      <c r="Q101" s="58"/>
      <c r="R101" s="58"/>
      <c r="S101" s="58"/>
      <c r="T101" s="58"/>
    </row>
    <row r="102" spans="1:20" x14ac:dyDescent="0.25">
      <c r="A102" s="58"/>
      <c r="B102" s="59"/>
      <c r="C102" s="58"/>
      <c r="D102" s="58"/>
      <c r="E102" s="58"/>
      <c r="F102" s="58"/>
      <c r="G102" s="58"/>
      <c r="H102" s="58"/>
      <c r="I102" s="58"/>
      <c r="J102" s="58"/>
      <c r="K102" s="58"/>
      <c r="L102" s="58"/>
      <c r="M102" s="58"/>
      <c r="N102" s="58"/>
      <c r="O102" s="58"/>
      <c r="P102" s="58"/>
      <c r="Q102" s="58"/>
      <c r="R102" s="58"/>
      <c r="S102" s="58"/>
      <c r="T102" s="58"/>
    </row>
    <row r="103" spans="1:20" x14ac:dyDescent="0.25">
      <c r="A103" s="58"/>
      <c r="B103" s="59"/>
      <c r="C103" s="58"/>
      <c r="D103" s="58"/>
      <c r="E103" s="58"/>
      <c r="F103" s="58"/>
      <c r="G103" s="58"/>
      <c r="H103" s="58"/>
      <c r="I103" s="58"/>
      <c r="J103" s="58"/>
      <c r="K103" s="58"/>
      <c r="L103" s="58"/>
      <c r="M103" s="58"/>
      <c r="N103" s="58"/>
      <c r="O103" s="58"/>
      <c r="P103" s="58"/>
      <c r="Q103" s="58"/>
      <c r="R103" s="58"/>
      <c r="S103" s="58"/>
      <c r="T103" s="58"/>
    </row>
    <row r="104" spans="1:20" x14ac:dyDescent="0.25">
      <c r="A104" s="58"/>
      <c r="B104" s="59"/>
      <c r="C104" s="58"/>
      <c r="D104" s="58"/>
      <c r="E104" s="58"/>
      <c r="F104" s="58"/>
      <c r="G104" s="58"/>
      <c r="H104" s="58"/>
      <c r="I104" s="58"/>
      <c r="J104" s="58"/>
      <c r="K104" s="58"/>
      <c r="L104" s="58"/>
      <c r="M104" s="58"/>
      <c r="N104" s="58"/>
      <c r="O104" s="58"/>
      <c r="P104" s="58"/>
      <c r="Q104" s="58"/>
      <c r="R104" s="58"/>
      <c r="S104" s="58"/>
      <c r="T104" s="58"/>
    </row>
    <row r="105" spans="1:20" x14ac:dyDescent="0.25">
      <c r="A105" s="58"/>
      <c r="B105" s="59"/>
      <c r="C105" s="58"/>
      <c r="D105" s="58"/>
      <c r="E105" s="58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</row>
    <row r="106" spans="1:20" x14ac:dyDescent="0.25">
      <c r="A106" s="58"/>
      <c r="B106" s="59"/>
      <c r="C106" s="58"/>
      <c r="D106" s="58"/>
      <c r="E106" s="58"/>
      <c r="F106" s="58"/>
      <c r="G106" s="58"/>
      <c r="H106" s="58"/>
      <c r="I106" s="58"/>
      <c r="J106" s="58"/>
      <c r="K106" s="58"/>
      <c r="L106" s="58"/>
      <c r="M106" s="58"/>
      <c r="N106" s="58"/>
      <c r="O106" s="58"/>
      <c r="P106" s="58"/>
      <c r="Q106" s="58"/>
      <c r="R106" s="58"/>
      <c r="S106" s="58"/>
      <c r="T106" s="58"/>
    </row>
    <row r="107" spans="1:20" x14ac:dyDescent="0.25">
      <c r="A107" s="58"/>
      <c r="B107" s="59"/>
      <c r="C107" s="58"/>
      <c r="D107" s="58"/>
      <c r="E107" s="58"/>
      <c r="F107" s="58"/>
      <c r="G107" s="58"/>
      <c r="H107" s="58"/>
      <c r="I107" s="58"/>
      <c r="J107" s="58"/>
      <c r="K107" s="58"/>
      <c r="L107" s="58"/>
      <c r="M107" s="58"/>
      <c r="N107" s="58"/>
      <c r="O107" s="58"/>
      <c r="P107" s="58"/>
      <c r="Q107" s="58"/>
      <c r="R107" s="58"/>
      <c r="S107" s="58"/>
      <c r="T107" s="58"/>
    </row>
    <row r="108" spans="1:20" x14ac:dyDescent="0.25">
      <c r="A108" s="58"/>
      <c r="B108" s="59"/>
      <c r="C108" s="58"/>
      <c r="D108" s="58"/>
      <c r="E108" s="58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</row>
    <row r="109" spans="1:20" x14ac:dyDescent="0.25">
      <c r="A109" s="58"/>
      <c r="B109" s="59"/>
      <c r="C109" s="58"/>
      <c r="D109" s="58"/>
      <c r="E109" s="58"/>
      <c r="F109" s="58"/>
      <c r="G109" s="58"/>
      <c r="H109" s="58"/>
      <c r="I109" s="58"/>
      <c r="J109" s="58"/>
      <c r="K109" s="58"/>
      <c r="L109" s="58"/>
      <c r="M109" s="58"/>
      <c r="N109" s="58"/>
      <c r="O109" s="58"/>
      <c r="P109" s="58"/>
      <c r="Q109" s="58"/>
      <c r="R109" s="58"/>
      <c r="S109" s="58"/>
      <c r="T109" s="58"/>
    </row>
    <row r="110" spans="1:20" x14ac:dyDescent="0.25">
      <c r="A110" s="58"/>
      <c r="B110" s="59"/>
      <c r="C110" s="58"/>
      <c r="D110" s="58"/>
      <c r="E110" s="58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</row>
    <row r="111" spans="1:20" x14ac:dyDescent="0.25">
      <c r="A111" s="58"/>
      <c r="B111" s="59"/>
      <c r="C111" s="58"/>
      <c r="D111" s="58"/>
      <c r="E111" s="58"/>
      <c r="F111" s="58"/>
      <c r="G111" s="58"/>
      <c r="H111" s="58"/>
      <c r="I111" s="58"/>
      <c r="J111" s="58"/>
      <c r="K111" s="58"/>
      <c r="L111" s="58"/>
      <c r="M111" s="58"/>
      <c r="N111" s="58"/>
      <c r="O111" s="58"/>
      <c r="P111" s="58"/>
      <c r="Q111" s="58"/>
      <c r="R111" s="58"/>
      <c r="S111" s="58"/>
      <c r="T111" s="58"/>
    </row>
    <row r="112" spans="1:20" x14ac:dyDescent="0.25">
      <c r="A112" s="58"/>
      <c r="B112" s="59"/>
      <c r="C112" s="58"/>
      <c r="D112" s="58"/>
      <c r="E112" s="58"/>
      <c r="F112" s="58"/>
      <c r="G112" s="58"/>
      <c r="H112" s="58"/>
      <c r="I112" s="58"/>
      <c r="J112" s="58"/>
      <c r="K112" s="58"/>
      <c r="L112" s="58"/>
      <c r="M112" s="58"/>
      <c r="N112" s="58"/>
      <c r="O112" s="58"/>
      <c r="P112" s="58"/>
      <c r="Q112" s="58"/>
      <c r="R112" s="58"/>
      <c r="S112" s="58"/>
      <c r="T112" s="58"/>
    </row>
    <row r="113" spans="1:20" x14ac:dyDescent="0.25">
      <c r="A113" s="58"/>
      <c r="B113" s="59"/>
      <c r="C113" s="58"/>
      <c r="D113" s="58"/>
      <c r="E113" s="58"/>
      <c r="F113" s="58"/>
      <c r="G113" s="58"/>
      <c r="H113" s="58"/>
      <c r="I113" s="58"/>
      <c r="J113" s="58"/>
      <c r="K113" s="58"/>
      <c r="L113" s="58"/>
      <c r="M113" s="58"/>
      <c r="N113" s="58"/>
      <c r="O113" s="58"/>
      <c r="P113" s="58"/>
      <c r="Q113" s="58"/>
      <c r="R113" s="58"/>
      <c r="S113" s="58"/>
      <c r="T113" s="58"/>
    </row>
    <row r="114" spans="1:20" x14ac:dyDescent="0.25">
      <c r="A114" s="58"/>
      <c r="B114" s="59"/>
      <c r="C114" s="58"/>
      <c r="D114" s="58"/>
      <c r="E114" s="58"/>
      <c r="F114" s="58"/>
      <c r="G114" s="58"/>
      <c r="H114" s="58"/>
      <c r="I114" s="58"/>
      <c r="J114" s="58"/>
      <c r="K114" s="58"/>
      <c r="L114" s="58"/>
      <c r="M114" s="58"/>
      <c r="N114" s="58"/>
      <c r="O114" s="58"/>
      <c r="P114" s="58"/>
      <c r="Q114" s="58"/>
      <c r="R114" s="58"/>
      <c r="S114" s="58"/>
      <c r="T114" s="58"/>
    </row>
    <row r="115" spans="1:20" x14ac:dyDescent="0.25">
      <c r="A115" s="58"/>
      <c r="B115" s="59"/>
      <c r="C115" s="58"/>
      <c r="D115" s="58"/>
      <c r="E115" s="58"/>
      <c r="F115" s="58"/>
      <c r="G115" s="58"/>
      <c r="H115" s="58"/>
      <c r="I115" s="58"/>
      <c r="J115" s="58"/>
      <c r="K115" s="58"/>
      <c r="L115" s="58"/>
      <c r="M115" s="58"/>
      <c r="N115" s="58"/>
      <c r="O115" s="58"/>
      <c r="P115" s="58"/>
      <c r="Q115" s="58"/>
      <c r="R115" s="58"/>
      <c r="S115" s="58"/>
      <c r="T115" s="58"/>
    </row>
    <row r="116" spans="1:20" x14ac:dyDescent="0.25">
      <c r="A116" s="58"/>
      <c r="B116" s="59"/>
      <c r="C116" s="58"/>
      <c r="D116" s="58"/>
      <c r="E116" s="58"/>
      <c r="F116" s="58"/>
      <c r="G116" s="58"/>
      <c r="H116" s="58"/>
      <c r="I116" s="58"/>
      <c r="J116" s="58"/>
      <c r="K116" s="58"/>
      <c r="L116" s="58"/>
      <c r="M116" s="58"/>
      <c r="N116" s="58"/>
      <c r="O116" s="58"/>
      <c r="P116" s="58"/>
      <c r="Q116" s="58"/>
      <c r="R116" s="58"/>
      <c r="S116" s="58"/>
      <c r="T116" s="58"/>
    </row>
    <row r="117" spans="1:20" x14ac:dyDescent="0.25">
      <c r="A117" s="58"/>
      <c r="B117" s="59"/>
      <c r="C117" s="58"/>
      <c r="D117" s="58"/>
      <c r="E117" s="58"/>
      <c r="F117" s="58"/>
      <c r="G117" s="58"/>
      <c r="H117" s="58"/>
      <c r="I117" s="58"/>
      <c r="J117" s="58"/>
      <c r="K117" s="58"/>
      <c r="L117" s="58"/>
      <c r="M117" s="58"/>
      <c r="N117" s="58"/>
      <c r="O117" s="58"/>
      <c r="P117" s="58"/>
      <c r="Q117" s="58"/>
      <c r="R117" s="58"/>
      <c r="S117" s="58"/>
      <c r="T117" s="58"/>
    </row>
    <row r="118" spans="1:20" x14ac:dyDescent="0.25">
      <c r="A118" s="58"/>
      <c r="B118" s="59"/>
      <c r="C118" s="58"/>
      <c r="D118" s="58"/>
      <c r="E118" s="58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</row>
    <row r="119" spans="1:20" x14ac:dyDescent="0.25">
      <c r="A119" s="58"/>
      <c r="B119" s="59"/>
      <c r="C119" s="58"/>
      <c r="D119" s="58"/>
      <c r="E119" s="58"/>
      <c r="F119" s="58"/>
      <c r="G119" s="58"/>
      <c r="H119" s="58"/>
      <c r="I119" s="58"/>
      <c r="J119" s="58"/>
      <c r="K119" s="58"/>
      <c r="L119" s="58"/>
      <c r="M119" s="58"/>
      <c r="N119" s="58"/>
      <c r="O119" s="58"/>
      <c r="P119" s="58"/>
      <c r="Q119" s="58"/>
      <c r="R119" s="58"/>
      <c r="S119" s="58"/>
      <c r="T119" s="58"/>
    </row>
    <row r="120" spans="1:20" x14ac:dyDescent="0.25">
      <c r="A120" s="58"/>
      <c r="B120" s="59"/>
      <c r="C120" s="58"/>
      <c r="D120" s="58"/>
      <c r="E120" s="58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</row>
    <row r="121" spans="1:20" x14ac:dyDescent="0.25">
      <c r="A121" s="58"/>
      <c r="B121" s="59"/>
      <c r="C121" s="58"/>
      <c r="D121" s="58"/>
      <c r="E121" s="58"/>
      <c r="F121" s="58"/>
      <c r="G121" s="58"/>
      <c r="H121" s="58"/>
      <c r="I121" s="58"/>
      <c r="J121" s="58"/>
      <c r="K121" s="58"/>
      <c r="L121" s="58"/>
      <c r="M121" s="58"/>
      <c r="N121" s="58"/>
      <c r="O121" s="58"/>
      <c r="P121" s="58"/>
      <c r="Q121" s="58"/>
      <c r="R121" s="58"/>
      <c r="S121" s="58"/>
      <c r="T121" s="58"/>
    </row>
    <row r="122" spans="1:20" x14ac:dyDescent="0.25">
      <c r="A122" s="58"/>
      <c r="B122" s="59"/>
      <c r="C122" s="58"/>
      <c r="D122" s="58"/>
      <c r="E122" s="58"/>
      <c r="F122" s="58"/>
      <c r="G122" s="58"/>
      <c r="H122" s="58"/>
      <c r="I122" s="58"/>
      <c r="J122" s="58"/>
      <c r="K122" s="58"/>
      <c r="L122" s="58"/>
      <c r="M122" s="58"/>
      <c r="N122" s="58"/>
      <c r="O122" s="58"/>
      <c r="P122" s="58"/>
      <c r="Q122" s="58"/>
      <c r="R122" s="58"/>
      <c r="S122" s="58"/>
      <c r="T122" s="58"/>
    </row>
    <row r="123" spans="1:20" x14ac:dyDescent="0.25">
      <c r="A123" s="58"/>
      <c r="B123" s="59"/>
      <c r="C123" s="58"/>
      <c r="D123" s="58"/>
      <c r="E123" s="58"/>
      <c r="F123" s="58"/>
      <c r="G123" s="58"/>
      <c r="H123" s="58"/>
      <c r="I123" s="58"/>
      <c r="J123" s="58"/>
      <c r="K123" s="58"/>
      <c r="L123" s="58"/>
      <c r="M123" s="58"/>
      <c r="N123" s="58"/>
      <c r="O123" s="58"/>
      <c r="P123" s="58"/>
      <c r="Q123" s="58"/>
      <c r="R123" s="58"/>
      <c r="S123" s="58"/>
      <c r="T123" s="58"/>
    </row>
    <row r="124" spans="1:20" x14ac:dyDescent="0.25">
      <c r="A124" s="58"/>
      <c r="B124" s="59"/>
      <c r="C124" s="58"/>
      <c r="D124" s="58"/>
      <c r="E124" s="58"/>
      <c r="F124" s="58"/>
      <c r="G124" s="58"/>
      <c r="H124" s="58"/>
      <c r="I124" s="58"/>
      <c r="J124" s="58"/>
      <c r="K124" s="58"/>
      <c r="L124" s="58"/>
      <c r="M124" s="58"/>
      <c r="N124" s="58"/>
      <c r="O124" s="58"/>
      <c r="P124" s="58"/>
      <c r="Q124" s="58"/>
      <c r="R124" s="58"/>
      <c r="S124" s="58"/>
      <c r="T124" s="58"/>
    </row>
    <row r="125" spans="1:20" x14ac:dyDescent="0.25">
      <c r="A125" s="58"/>
      <c r="B125" s="59"/>
      <c r="C125" s="58"/>
      <c r="D125" s="58"/>
      <c r="E125" s="58"/>
      <c r="F125" s="58"/>
      <c r="G125" s="58"/>
      <c r="H125" s="58"/>
      <c r="I125" s="58"/>
      <c r="J125" s="58"/>
      <c r="K125" s="58"/>
      <c r="L125" s="58"/>
      <c r="M125" s="58"/>
      <c r="N125" s="58"/>
      <c r="O125" s="58"/>
      <c r="P125" s="58"/>
      <c r="Q125" s="58"/>
      <c r="R125" s="58"/>
      <c r="S125" s="58"/>
      <c r="T125" s="58"/>
    </row>
    <row r="126" spans="1:20" x14ac:dyDescent="0.25">
      <c r="A126" s="58"/>
      <c r="B126" s="59"/>
      <c r="C126" s="58"/>
      <c r="D126" s="58"/>
      <c r="E126" s="58"/>
      <c r="F126" s="58"/>
      <c r="G126" s="58"/>
      <c r="H126" s="58"/>
      <c r="I126" s="58"/>
      <c r="J126" s="58"/>
      <c r="K126" s="58"/>
      <c r="L126" s="58"/>
      <c r="M126" s="58"/>
      <c r="N126" s="58"/>
      <c r="O126" s="58"/>
      <c r="P126" s="58"/>
      <c r="Q126" s="58"/>
      <c r="R126" s="58"/>
      <c r="S126" s="58"/>
      <c r="T126" s="58"/>
    </row>
    <row r="127" spans="1:20" x14ac:dyDescent="0.25">
      <c r="A127" s="58"/>
      <c r="B127" s="59"/>
      <c r="C127" s="58"/>
      <c r="D127" s="58"/>
      <c r="E127" s="58"/>
      <c r="F127" s="58"/>
      <c r="G127" s="58"/>
      <c r="H127" s="58"/>
      <c r="I127" s="58"/>
      <c r="J127" s="58"/>
      <c r="K127" s="58"/>
      <c r="L127" s="58"/>
      <c r="M127" s="58"/>
      <c r="N127" s="58"/>
      <c r="O127" s="58"/>
      <c r="P127" s="58"/>
      <c r="Q127" s="58"/>
      <c r="R127" s="58"/>
      <c r="S127" s="58"/>
      <c r="T127" s="58"/>
    </row>
    <row r="128" spans="1:20" x14ac:dyDescent="0.25">
      <c r="A128" s="58"/>
      <c r="B128" s="59"/>
      <c r="C128" s="58"/>
      <c r="D128" s="58"/>
      <c r="E128" s="58"/>
      <c r="F128" s="58"/>
      <c r="G128" s="58"/>
      <c r="H128" s="58"/>
      <c r="I128" s="58"/>
      <c r="J128" s="58"/>
      <c r="K128" s="58"/>
      <c r="L128" s="58"/>
      <c r="M128" s="58"/>
      <c r="N128" s="58"/>
      <c r="O128" s="58"/>
      <c r="P128" s="58"/>
      <c r="Q128" s="58"/>
      <c r="R128" s="58"/>
      <c r="S128" s="58"/>
      <c r="T128" s="58"/>
    </row>
    <row r="129" spans="1:20" x14ac:dyDescent="0.25">
      <c r="A129" s="58"/>
      <c r="B129" s="59"/>
      <c r="C129" s="58"/>
      <c r="D129" s="58"/>
      <c r="E129" s="58"/>
      <c r="F129" s="58"/>
      <c r="G129" s="58"/>
      <c r="H129" s="58"/>
      <c r="I129" s="58"/>
      <c r="J129" s="58"/>
      <c r="K129" s="58"/>
      <c r="L129" s="58"/>
      <c r="M129" s="58"/>
      <c r="N129" s="58"/>
      <c r="O129" s="58"/>
      <c r="P129" s="58"/>
      <c r="Q129" s="58"/>
      <c r="R129" s="58"/>
      <c r="S129" s="58"/>
      <c r="T129" s="58"/>
    </row>
    <row r="130" spans="1:20" x14ac:dyDescent="0.25">
      <c r="A130" s="58"/>
      <c r="B130" s="59"/>
      <c r="C130" s="58"/>
      <c r="D130" s="58"/>
      <c r="E130" s="58"/>
      <c r="F130" s="58"/>
      <c r="G130" s="58"/>
      <c r="H130" s="58"/>
      <c r="I130" s="58"/>
      <c r="J130" s="58"/>
      <c r="K130" s="58"/>
      <c r="L130" s="58"/>
      <c r="M130" s="58"/>
      <c r="N130" s="58"/>
      <c r="O130" s="58"/>
      <c r="P130" s="58"/>
      <c r="Q130" s="58"/>
      <c r="R130" s="58"/>
      <c r="S130" s="58"/>
      <c r="T130" s="58"/>
    </row>
    <row r="131" spans="1:20" x14ac:dyDescent="0.25">
      <c r="A131" s="58"/>
      <c r="B131" s="59"/>
      <c r="C131" s="58"/>
      <c r="D131" s="58"/>
      <c r="E131" s="58"/>
      <c r="F131" s="58"/>
      <c r="G131" s="58"/>
      <c r="H131" s="58"/>
      <c r="I131" s="58"/>
      <c r="J131" s="58"/>
      <c r="K131" s="58"/>
      <c r="L131" s="58"/>
      <c r="M131" s="58"/>
      <c r="N131" s="58"/>
      <c r="O131" s="58"/>
      <c r="P131" s="58"/>
      <c r="Q131" s="58"/>
      <c r="R131" s="58"/>
      <c r="S131" s="58"/>
      <c r="T131" s="58"/>
    </row>
    <row r="132" spans="1:20" x14ac:dyDescent="0.25">
      <c r="A132" s="58"/>
      <c r="B132" s="59"/>
      <c r="C132" s="58"/>
      <c r="D132" s="58"/>
      <c r="E132" s="58"/>
      <c r="F132" s="58"/>
      <c r="G132" s="58"/>
      <c r="H132" s="58"/>
      <c r="I132" s="58"/>
      <c r="J132" s="58"/>
      <c r="K132" s="58"/>
      <c r="L132" s="58"/>
      <c r="M132" s="58"/>
      <c r="N132" s="58"/>
      <c r="O132" s="58"/>
      <c r="P132" s="58"/>
      <c r="Q132" s="58"/>
      <c r="R132" s="58"/>
      <c r="S132" s="58"/>
      <c r="T132" s="58"/>
    </row>
    <row r="133" spans="1:20" x14ac:dyDescent="0.25">
      <c r="A133" s="58"/>
      <c r="B133" s="59"/>
      <c r="C133" s="58"/>
      <c r="D133" s="58"/>
      <c r="E133" s="58"/>
      <c r="F133" s="58"/>
      <c r="G133" s="58"/>
      <c r="H133" s="58"/>
      <c r="I133" s="58"/>
      <c r="J133" s="58"/>
      <c r="K133" s="58"/>
      <c r="L133" s="58"/>
      <c r="M133" s="58"/>
      <c r="N133" s="58"/>
      <c r="O133" s="58"/>
      <c r="P133" s="58"/>
      <c r="Q133" s="58"/>
      <c r="R133" s="58"/>
      <c r="S133" s="58"/>
      <c r="T133" s="58"/>
    </row>
    <row r="134" spans="1:20" x14ac:dyDescent="0.25">
      <c r="A134" s="58"/>
      <c r="B134" s="59"/>
      <c r="C134" s="58"/>
      <c r="D134" s="58"/>
      <c r="E134" s="58"/>
      <c r="F134" s="58"/>
      <c r="G134" s="58"/>
      <c r="H134" s="58"/>
      <c r="I134" s="58"/>
      <c r="J134" s="58"/>
      <c r="K134" s="58"/>
      <c r="L134" s="58"/>
      <c r="M134" s="58"/>
      <c r="N134" s="58"/>
      <c r="O134" s="58"/>
      <c r="P134" s="58"/>
      <c r="Q134" s="58"/>
      <c r="R134" s="58"/>
      <c r="S134" s="58"/>
      <c r="T134" s="58"/>
    </row>
    <row r="135" spans="1:20" x14ac:dyDescent="0.25">
      <c r="A135" s="58"/>
      <c r="B135" s="59"/>
      <c r="C135" s="58"/>
      <c r="D135" s="58"/>
      <c r="E135" s="58"/>
      <c r="F135" s="58"/>
      <c r="G135" s="58"/>
      <c r="H135" s="58"/>
      <c r="I135" s="58"/>
      <c r="J135" s="58"/>
      <c r="K135" s="58"/>
      <c r="L135" s="58"/>
      <c r="M135" s="58"/>
      <c r="N135" s="58"/>
      <c r="O135" s="58"/>
      <c r="P135" s="58"/>
      <c r="Q135" s="58"/>
      <c r="R135" s="58"/>
      <c r="S135" s="58"/>
      <c r="T135" s="58"/>
    </row>
    <row r="136" spans="1:20" x14ac:dyDescent="0.25">
      <c r="A136" s="58"/>
      <c r="B136" s="59"/>
      <c r="C136" s="58"/>
      <c r="D136" s="58"/>
      <c r="E136" s="58"/>
      <c r="F136" s="58"/>
      <c r="G136" s="58"/>
      <c r="H136" s="58"/>
      <c r="I136" s="58"/>
      <c r="J136" s="58"/>
      <c r="K136" s="58"/>
      <c r="L136" s="58"/>
      <c r="M136" s="58"/>
      <c r="N136" s="58"/>
      <c r="O136" s="58"/>
      <c r="P136" s="58"/>
      <c r="Q136" s="58"/>
      <c r="R136" s="58"/>
      <c r="S136" s="58"/>
      <c r="T136" s="58"/>
    </row>
    <row r="137" spans="1:20" x14ac:dyDescent="0.25">
      <c r="A137" s="58"/>
      <c r="B137" s="59"/>
      <c r="C137" s="58"/>
      <c r="D137" s="58"/>
      <c r="E137" s="58"/>
      <c r="F137" s="58"/>
      <c r="G137" s="58"/>
      <c r="H137" s="58"/>
      <c r="I137" s="58"/>
      <c r="J137" s="58"/>
      <c r="K137" s="58"/>
      <c r="L137" s="58"/>
      <c r="M137" s="58"/>
      <c r="N137" s="58"/>
      <c r="O137" s="58"/>
      <c r="P137" s="58"/>
      <c r="Q137" s="58"/>
      <c r="R137" s="58"/>
      <c r="S137" s="58"/>
      <c r="T137" s="58"/>
    </row>
    <row r="138" spans="1:20" x14ac:dyDescent="0.25">
      <c r="A138" s="58"/>
      <c r="B138" s="59"/>
      <c r="C138" s="58"/>
      <c r="D138" s="58"/>
      <c r="E138" s="58"/>
      <c r="F138" s="58"/>
      <c r="G138" s="58"/>
      <c r="H138" s="58"/>
      <c r="I138" s="58"/>
      <c r="J138" s="58"/>
      <c r="K138" s="58"/>
      <c r="L138" s="58"/>
      <c r="M138" s="58"/>
      <c r="N138" s="58"/>
      <c r="O138" s="58"/>
      <c r="P138" s="58"/>
      <c r="Q138" s="58"/>
      <c r="R138" s="58"/>
      <c r="S138" s="58"/>
      <c r="T138" s="58"/>
    </row>
    <row r="139" spans="1:20" x14ac:dyDescent="0.25">
      <c r="A139" s="58"/>
      <c r="B139" s="59"/>
      <c r="C139" s="58"/>
      <c r="D139" s="58"/>
      <c r="E139" s="58"/>
      <c r="F139" s="58"/>
      <c r="G139" s="58"/>
      <c r="H139" s="58"/>
      <c r="I139" s="58"/>
      <c r="J139" s="58"/>
      <c r="K139" s="58"/>
      <c r="L139" s="58"/>
      <c r="M139" s="58"/>
      <c r="N139" s="58"/>
      <c r="O139" s="58"/>
      <c r="P139" s="58"/>
      <c r="Q139" s="58"/>
      <c r="R139" s="58"/>
      <c r="S139" s="58"/>
      <c r="T139" s="58"/>
    </row>
    <row r="140" spans="1:20" x14ac:dyDescent="0.25">
      <c r="A140" s="58"/>
      <c r="B140" s="59"/>
      <c r="C140" s="58"/>
      <c r="D140" s="58"/>
      <c r="E140" s="58"/>
      <c r="F140" s="58"/>
      <c r="G140" s="58"/>
      <c r="H140" s="58"/>
      <c r="I140" s="58"/>
      <c r="J140" s="58"/>
      <c r="K140" s="58"/>
      <c r="L140" s="58"/>
      <c r="M140" s="58"/>
      <c r="N140" s="58"/>
      <c r="O140" s="58"/>
      <c r="P140" s="58"/>
      <c r="Q140" s="58"/>
      <c r="R140" s="58"/>
      <c r="S140" s="58"/>
      <c r="T140" s="58"/>
    </row>
    <row r="141" spans="1:20" x14ac:dyDescent="0.25">
      <c r="A141" s="58"/>
      <c r="B141" s="59"/>
      <c r="C141" s="58"/>
      <c r="D141" s="58"/>
      <c r="E141" s="58"/>
      <c r="F141" s="58"/>
      <c r="G141" s="58"/>
      <c r="H141" s="58"/>
      <c r="I141" s="58"/>
      <c r="J141" s="58"/>
      <c r="K141" s="58"/>
      <c r="L141" s="58"/>
      <c r="M141" s="58"/>
      <c r="N141" s="58"/>
      <c r="O141" s="58"/>
      <c r="P141" s="58"/>
      <c r="Q141" s="58"/>
      <c r="R141" s="58"/>
      <c r="S141" s="58"/>
      <c r="T141" s="58"/>
    </row>
    <row r="142" spans="1:20" x14ac:dyDescent="0.25">
      <c r="A142" s="58"/>
      <c r="B142" s="59"/>
      <c r="C142" s="58"/>
      <c r="D142" s="58"/>
      <c r="E142" s="58"/>
      <c r="F142" s="58"/>
      <c r="G142" s="58"/>
      <c r="H142" s="58"/>
      <c r="I142" s="58"/>
      <c r="J142" s="58"/>
      <c r="K142" s="58"/>
      <c r="L142" s="58"/>
      <c r="M142" s="58"/>
      <c r="N142" s="58"/>
      <c r="O142" s="58"/>
      <c r="P142" s="58"/>
      <c r="Q142" s="58"/>
      <c r="R142" s="58"/>
      <c r="S142" s="58"/>
      <c r="T142" s="58"/>
    </row>
    <row r="143" spans="1:20" x14ac:dyDescent="0.25">
      <c r="A143" s="58"/>
      <c r="B143" s="59"/>
      <c r="C143" s="58"/>
      <c r="D143" s="58"/>
      <c r="E143" s="58"/>
      <c r="F143" s="58"/>
      <c r="G143" s="58"/>
      <c r="H143" s="58"/>
      <c r="I143" s="58"/>
      <c r="J143" s="58"/>
      <c r="K143" s="58"/>
      <c r="L143" s="58"/>
      <c r="M143" s="58"/>
      <c r="N143" s="58"/>
      <c r="O143" s="58"/>
      <c r="P143" s="58"/>
      <c r="Q143" s="58"/>
      <c r="R143" s="58"/>
      <c r="S143" s="58"/>
      <c r="T143" s="58"/>
    </row>
    <row r="144" spans="1:20" x14ac:dyDescent="0.25">
      <c r="A144" s="58"/>
      <c r="B144" s="59"/>
      <c r="C144" s="58"/>
      <c r="D144" s="58"/>
      <c r="E144" s="58"/>
      <c r="F144" s="58"/>
      <c r="G144" s="58"/>
      <c r="H144" s="58"/>
      <c r="I144" s="58"/>
      <c r="J144" s="58"/>
      <c r="K144" s="58"/>
      <c r="L144" s="58"/>
      <c r="M144" s="58"/>
      <c r="N144" s="58"/>
      <c r="O144" s="58"/>
      <c r="P144" s="58"/>
      <c r="Q144" s="58"/>
      <c r="R144" s="58"/>
      <c r="S144" s="58"/>
      <c r="T144" s="58"/>
    </row>
    <row r="145" spans="1:20" x14ac:dyDescent="0.25">
      <c r="A145" s="58"/>
      <c r="B145" s="59"/>
      <c r="C145" s="58"/>
      <c r="D145" s="58"/>
      <c r="E145" s="58"/>
      <c r="F145" s="58"/>
      <c r="G145" s="58"/>
      <c r="H145" s="58"/>
      <c r="I145" s="58"/>
      <c r="J145" s="58"/>
      <c r="K145" s="58"/>
      <c r="L145" s="58"/>
      <c r="M145" s="58"/>
      <c r="N145" s="58"/>
      <c r="O145" s="58"/>
      <c r="P145" s="58"/>
      <c r="Q145" s="58"/>
      <c r="R145" s="58"/>
      <c r="S145" s="58"/>
      <c r="T145" s="58"/>
    </row>
    <row r="146" spans="1:20" x14ac:dyDescent="0.25">
      <c r="A146" s="58"/>
      <c r="B146" s="59"/>
      <c r="C146" s="58"/>
      <c r="D146" s="58"/>
      <c r="E146" s="58"/>
      <c r="F146" s="58"/>
      <c r="G146" s="58"/>
      <c r="H146" s="58"/>
      <c r="I146" s="58"/>
      <c r="J146" s="58"/>
      <c r="K146" s="58"/>
      <c r="L146" s="58"/>
      <c r="M146" s="58"/>
      <c r="N146" s="58"/>
      <c r="O146" s="58"/>
      <c r="P146" s="58"/>
      <c r="Q146" s="58"/>
      <c r="R146" s="58"/>
      <c r="S146" s="58"/>
      <c r="T146" s="58"/>
    </row>
    <row r="147" spans="1:20" x14ac:dyDescent="0.25">
      <c r="A147" s="58"/>
      <c r="B147" s="59"/>
      <c r="C147" s="58"/>
      <c r="D147" s="58"/>
      <c r="E147" s="58"/>
      <c r="F147" s="58"/>
      <c r="G147" s="58"/>
      <c r="H147" s="58"/>
      <c r="I147" s="58"/>
      <c r="J147" s="58"/>
      <c r="K147" s="58"/>
      <c r="L147" s="58"/>
      <c r="M147" s="58"/>
      <c r="N147" s="58"/>
      <c r="O147" s="58"/>
      <c r="P147" s="58"/>
      <c r="Q147" s="58"/>
      <c r="R147" s="58"/>
      <c r="S147" s="58"/>
      <c r="T147" s="58"/>
    </row>
    <row r="148" spans="1:20" x14ac:dyDescent="0.25">
      <c r="A148" s="58"/>
      <c r="B148" s="59"/>
      <c r="C148" s="58"/>
      <c r="D148" s="58"/>
      <c r="E148" s="58"/>
      <c r="F148" s="58"/>
      <c r="G148" s="58"/>
      <c r="H148" s="58"/>
      <c r="I148" s="58"/>
      <c r="J148" s="58"/>
      <c r="K148" s="58"/>
      <c r="L148" s="58"/>
      <c r="M148" s="58"/>
      <c r="N148" s="58"/>
      <c r="O148" s="58"/>
      <c r="P148" s="58"/>
      <c r="Q148" s="58"/>
      <c r="R148" s="58"/>
      <c r="S148" s="58"/>
      <c r="T148" s="58"/>
    </row>
    <row r="149" spans="1:20" x14ac:dyDescent="0.25">
      <c r="A149" s="58"/>
      <c r="B149" s="59"/>
      <c r="C149" s="58"/>
      <c r="D149" s="58"/>
      <c r="E149" s="58"/>
      <c r="F149" s="58"/>
      <c r="G149" s="58"/>
      <c r="H149" s="58"/>
      <c r="I149" s="58"/>
      <c r="J149" s="58"/>
      <c r="K149" s="58"/>
      <c r="L149" s="58"/>
      <c r="M149" s="58"/>
      <c r="N149" s="58"/>
      <c r="O149" s="58"/>
      <c r="P149" s="58"/>
      <c r="Q149" s="58"/>
      <c r="R149" s="58"/>
      <c r="S149" s="58"/>
      <c r="T149" s="58"/>
    </row>
    <row r="150" spans="1:20" x14ac:dyDescent="0.25">
      <c r="C150" s="58"/>
      <c r="D150" s="58"/>
      <c r="E150" s="58"/>
      <c r="F150" s="58"/>
      <c r="G150" s="58"/>
      <c r="H150" s="58"/>
      <c r="I150" s="58"/>
      <c r="J150" s="58"/>
      <c r="K150" s="58"/>
      <c r="L150" s="58"/>
      <c r="M150" s="58"/>
      <c r="N150" s="58"/>
      <c r="O150" s="58"/>
      <c r="P150" s="58"/>
      <c r="Q150" s="58"/>
      <c r="R150" s="58"/>
      <c r="S150" s="58"/>
      <c r="T150" s="58"/>
    </row>
    <row r="151" spans="1:20" x14ac:dyDescent="0.25">
      <c r="C151" s="58"/>
      <c r="D151" s="58"/>
      <c r="E151" s="58"/>
      <c r="F151" s="58"/>
      <c r="G151" s="58"/>
      <c r="H151" s="58"/>
      <c r="I151" s="58"/>
      <c r="J151" s="58"/>
      <c r="K151" s="58"/>
      <c r="L151" s="58"/>
      <c r="M151" s="58"/>
      <c r="N151" s="58"/>
      <c r="O151" s="58"/>
      <c r="P151" s="58"/>
      <c r="Q151" s="58"/>
      <c r="R151" s="58"/>
      <c r="S151" s="58"/>
      <c r="T151" s="58"/>
    </row>
    <row r="152" spans="1:20" x14ac:dyDescent="0.25">
      <c r="C152" s="58"/>
      <c r="D152" s="58"/>
      <c r="E152" s="58"/>
      <c r="F152" s="58"/>
      <c r="G152" s="58"/>
      <c r="H152" s="58"/>
      <c r="I152" s="58"/>
      <c r="J152" s="58"/>
      <c r="K152" s="58"/>
      <c r="L152" s="58"/>
      <c r="M152" s="58"/>
      <c r="N152" s="58"/>
      <c r="O152" s="58"/>
      <c r="P152" s="58"/>
      <c r="Q152" s="58"/>
      <c r="R152" s="58"/>
      <c r="S152" s="58"/>
      <c r="T152" s="58"/>
    </row>
    <row r="153" spans="1:20" x14ac:dyDescent="0.25">
      <c r="C153" s="58"/>
      <c r="D153" s="58"/>
      <c r="E153" s="58"/>
      <c r="F153" s="58"/>
      <c r="G153" s="58"/>
      <c r="H153" s="58"/>
      <c r="I153" s="58"/>
      <c r="J153" s="58"/>
      <c r="K153" s="58"/>
      <c r="L153" s="58"/>
      <c r="M153" s="58"/>
      <c r="N153" s="58"/>
      <c r="O153" s="58"/>
      <c r="P153" s="58"/>
      <c r="Q153" s="58"/>
      <c r="R153" s="58"/>
      <c r="S153" s="58"/>
      <c r="T153" s="58"/>
    </row>
    <row r="154" spans="1:20" x14ac:dyDescent="0.25">
      <c r="C154" s="58"/>
      <c r="D154" s="58"/>
      <c r="E154" s="58"/>
      <c r="F154" s="58"/>
      <c r="G154" s="58"/>
      <c r="H154" s="58"/>
      <c r="I154" s="58"/>
      <c r="J154" s="58"/>
      <c r="K154" s="58"/>
      <c r="L154" s="58"/>
      <c r="M154" s="58"/>
      <c r="N154" s="58"/>
      <c r="O154" s="58"/>
      <c r="P154" s="58"/>
      <c r="Q154" s="58"/>
      <c r="R154" s="58"/>
      <c r="S154" s="58"/>
      <c r="T154" s="58"/>
    </row>
    <row r="155" spans="1:20" x14ac:dyDescent="0.25">
      <c r="C155" s="58"/>
      <c r="D155" s="58"/>
      <c r="E155" s="58"/>
      <c r="F155" s="58"/>
      <c r="G155" s="58"/>
      <c r="H155" s="58"/>
      <c r="I155" s="58"/>
      <c r="J155" s="58"/>
      <c r="K155" s="58"/>
      <c r="L155" s="58"/>
      <c r="M155" s="58"/>
      <c r="N155" s="58"/>
      <c r="O155" s="58"/>
      <c r="P155" s="58"/>
      <c r="Q155" s="58"/>
      <c r="R155" s="58"/>
      <c r="S155" s="58"/>
      <c r="T155" s="58"/>
    </row>
    <row r="156" spans="1:20" x14ac:dyDescent="0.25">
      <c r="C156" s="58"/>
      <c r="D156" s="58"/>
      <c r="E156" s="58"/>
      <c r="F156" s="58"/>
      <c r="G156" s="58"/>
      <c r="H156" s="58"/>
      <c r="I156" s="58"/>
      <c r="J156" s="58"/>
      <c r="K156" s="58"/>
      <c r="L156" s="58"/>
      <c r="M156" s="58"/>
      <c r="N156" s="58"/>
      <c r="O156" s="58"/>
      <c r="P156" s="58"/>
      <c r="Q156" s="58"/>
      <c r="R156" s="58"/>
      <c r="S156" s="58"/>
      <c r="T156" s="58"/>
    </row>
    <row r="157" spans="1:20" x14ac:dyDescent="0.25">
      <c r="C157" s="58"/>
      <c r="D157" s="58"/>
      <c r="E157" s="58"/>
      <c r="F157" s="58"/>
      <c r="G157" s="58"/>
      <c r="H157" s="58"/>
      <c r="I157" s="58"/>
      <c r="J157" s="58"/>
      <c r="K157" s="58"/>
      <c r="L157" s="58"/>
      <c r="M157" s="58"/>
      <c r="N157" s="58"/>
      <c r="O157" s="58"/>
      <c r="P157" s="58"/>
      <c r="Q157" s="58"/>
      <c r="R157" s="58"/>
      <c r="S157" s="58"/>
      <c r="T157" s="58"/>
    </row>
    <row r="158" spans="1:20" x14ac:dyDescent="0.25">
      <c r="C158" s="58"/>
      <c r="D158" s="58"/>
      <c r="E158" s="58"/>
      <c r="F158" s="58"/>
      <c r="G158" s="58"/>
      <c r="H158" s="58"/>
      <c r="I158" s="58"/>
      <c r="J158" s="58"/>
      <c r="K158" s="58"/>
      <c r="L158" s="58"/>
      <c r="M158" s="58"/>
      <c r="N158" s="58"/>
      <c r="O158" s="58"/>
      <c r="P158" s="58"/>
      <c r="Q158" s="58"/>
      <c r="R158" s="58"/>
      <c r="S158" s="58"/>
      <c r="T158" s="58"/>
    </row>
    <row r="159" spans="1:20" x14ac:dyDescent="0.25">
      <c r="C159" s="58"/>
      <c r="D159" s="58"/>
      <c r="E159" s="58"/>
      <c r="F159" s="58"/>
      <c r="G159" s="58"/>
      <c r="H159" s="58"/>
      <c r="I159" s="58"/>
      <c r="J159" s="58"/>
      <c r="K159" s="58"/>
      <c r="L159" s="58"/>
      <c r="M159" s="58"/>
      <c r="N159" s="58"/>
      <c r="O159" s="58"/>
      <c r="P159" s="58"/>
      <c r="Q159" s="58"/>
      <c r="R159" s="58"/>
      <c r="S159" s="58"/>
      <c r="T159" s="58"/>
    </row>
    <row r="160" spans="1:20" x14ac:dyDescent="0.25">
      <c r="C160" s="58"/>
      <c r="D160" s="58"/>
      <c r="E160" s="58"/>
      <c r="F160" s="58"/>
      <c r="G160" s="58"/>
      <c r="H160" s="58"/>
      <c r="I160" s="58"/>
      <c r="J160" s="58"/>
      <c r="K160" s="58"/>
      <c r="L160" s="58"/>
      <c r="M160" s="58"/>
      <c r="N160" s="58"/>
      <c r="O160" s="58"/>
      <c r="P160" s="58"/>
      <c r="Q160" s="58"/>
      <c r="R160" s="58"/>
      <c r="S160" s="58"/>
      <c r="T160" s="58"/>
    </row>
    <row r="161" spans="3:20" x14ac:dyDescent="0.25">
      <c r="C161" s="58"/>
      <c r="D161" s="58"/>
      <c r="E161" s="58"/>
      <c r="F161" s="58"/>
      <c r="G161" s="58"/>
      <c r="H161" s="58"/>
      <c r="I161" s="58"/>
      <c r="J161" s="58"/>
      <c r="K161" s="58"/>
      <c r="L161" s="58"/>
      <c r="M161" s="58"/>
      <c r="N161" s="58"/>
      <c r="O161" s="58"/>
      <c r="P161" s="58"/>
      <c r="Q161" s="58"/>
      <c r="R161" s="58"/>
      <c r="S161" s="58"/>
      <c r="T161" s="58"/>
    </row>
    <row r="162" spans="3:20" x14ac:dyDescent="0.25">
      <c r="C162" s="58"/>
      <c r="D162" s="58"/>
      <c r="E162" s="58"/>
      <c r="F162" s="58"/>
      <c r="G162" s="58"/>
      <c r="H162" s="58"/>
      <c r="I162" s="58"/>
      <c r="J162" s="58"/>
      <c r="K162" s="58"/>
      <c r="L162" s="58"/>
      <c r="M162" s="58"/>
      <c r="N162" s="58"/>
      <c r="O162" s="58"/>
      <c r="P162" s="58"/>
      <c r="Q162" s="58"/>
      <c r="R162" s="58"/>
      <c r="S162" s="58"/>
      <c r="T162" s="58"/>
    </row>
    <row r="163" spans="3:20" x14ac:dyDescent="0.25">
      <c r="C163" s="58"/>
      <c r="D163" s="58"/>
      <c r="E163" s="58"/>
      <c r="F163" s="58"/>
      <c r="G163" s="58"/>
      <c r="H163" s="58"/>
      <c r="I163" s="58"/>
      <c r="J163" s="58"/>
      <c r="K163" s="58"/>
      <c r="L163" s="58"/>
      <c r="M163" s="58"/>
      <c r="N163" s="58"/>
      <c r="O163" s="58"/>
      <c r="P163" s="58"/>
      <c r="Q163" s="58"/>
      <c r="R163" s="58"/>
      <c r="S163" s="58"/>
      <c r="T163" s="58"/>
    </row>
    <row r="164" spans="3:20" x14ac:dyDescent="0.25">
      <c r="C164" s="58"/>
      <c r="D164" s="58"/>
      <c r="E164" s="58"/>
      <c r="F164" s="58"/>
      <c r="G164" s="58"/>
      <c r="H164" s="58"/>
      <c r="I164" s="58"/>
      <c r="J164" s="58"/>
      <c r="K164" s="58"/>
      <c r="L164" s="58"/>
      <c r="M164" s="58"/>
      <c r="N164" s="58"/>
      <c r="O164" s="58"/>
      <c r="P164" s="58"/>
      <c r="Q164" s="58"/>
      <c r="R164" s="58"/>
      <c r="S164" s="58"/>
      <c r="T164" s="58"/>
    </row>
    <row r="165" spans="3:20" x14ac:dyDescent="0.25">
      <c r="C165" s="58"/>
      <c r="D165" s="58"/>
      <c r="E165" s="58"/>
      <c r="F165" s="58"/>
      <c r="G165" s="58"/>
      <c r="H165" s="58"/>
      <c r="I165" s="58"/>
      <c r="J165" s="58"/>
      <c r="K165" s="58"/>
      <c r="L165" s="58"/>
      <c r="M165" s="58"/>
      <c r="N165" s="58"/>
      <c r="O165" s="58"/>
      <c r="P165" s="58"/>
      <c r="Q165" s="58"/>
      <c r="R165" s="58"/>
      <c r="S165" s="58"/>
      <c r="T165" s="58"/>
    </row>
    <row r="166" spans="3:20" x14ac:dyDescent="0.25">
      <c r="C166" s="58"/>
      <c r="D166" s="58"/>
      <c r="E166" s="58"/>
      <c r="F166" s="58"/>
      <c r="G166" s="58"/>
      <c r="H166" s="58"/>
      <c r="I166" s="58"/>
      <c r="J166" s="58"/>
      <c r="K166" s="58"/>
      <c r="L166" s="58"/>
      <c r="M166" s="58"/>
      <c r="N166" s="58"/>
      <c r="O166" s="58"/>
      <c r="P166" s="58"/>
      <c r="Q166" s="58"/>
      <c r="R166" s="58"/>
      <c r="S166" s="58"/>
      <c r="T166" s="58"/>
    </row>
    <row r="167" spans="3:20" x14ac:dyDescent="0.25">
      <c r="C167" s="58"/>
      <c r="D167" s="58"/>
      <c r="E167" s="58"/>
      <c r="F167" s="58"/>
      <c r="G167" s="58"/>
      <c r="H167" s="58"/>
      <c r="I167" s="58"/>
      <c r="J167" s="58"/>
      <c r="K167" s="58"/>
      <c r="L167" s="58"/>
      <c r="M167" s="58"/>
      <c r="N167" s="58"/>
      <c r="O167" s="58"/>
      <c r="P167" s="58"/>
      <c r="Q167" s="58"/>
      <c r="R167" s="58"/>
      <c r="S167" s="58"/>
      <c r="T167" s="58"/>
    </row>
  </sheetData>
  <mergeCells count="3">
    <mergeCell ref="D2:H2"/>
    <mergeCell ref="I2:N2"/>
    <mergeCell ref="D1:H1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D79EE-4A81-4600-8394-1BB51CFF9BEC}">
  <sheetPr codeName="Planilha3"/>
  <dimension ref="A1:AT286"/>
  <sheetViews>
    <sheetView tabSelected="1" topLeftCell="A46" workbookViewId="0">
      <selection activeCell="E60" sqref="E60"/>
    </sheetView>
  </sheetViews>
  <sheetFormatPr defaultColWidth="18.140625" defaultRowHeight="15" x14ac:dyDescent="0.25"/>
  <cols>
    <col min="16" max="16" width="22.42578125" bestFit="1" customWidth="1"/>
  </cols>
  <sheetData>
    <row r="1" spans="1:46" x14ac:dyDescent="0.25">
      <c r="A1" t="s">
        <v>116</v>
      </c>
      <c r="B1" t="s">
        <v>117</v>
      </c>
      <c r="C1" t="s">
        <v>118</v>
      </c>
      <c r="D1" t="s">
        <v>119</v>
      </c>
      <c r="E1" t="s">
        <v>120</v>
      </c>
      <c r="F1" t="s">
        <v>121</v>
      </c>
      <c r="G1" t="s">
        <v>122</v>
      </c>
      <c r="H1" t="s">
        <v>123</v>
      </c>
      <c r="I1" t="s">
        <v>124</v>
      </c>
      <c r="J1" t="s">
        <v>125</v>
      </c>
      <c r="K1" t="s">
        <v>126</v>
      </c>
      <c r="L1" t="s">
        <v>127</v>
      </c>
      <c r="M1" t="s">
        <v>128</v>
      </c>
      <c r="N1" t="s">
        <v>129</v>
      </c>
      <c r="O1" t="s">
        <v>130</v>
      </c>
      <c r="P1" t="s">
        <v>131</v>
      </c>
      <c r="Q1" t="s">
        <v>132</v>
      </c>
      <c r="R1" t="s">
        <v>133</v>
      </c>
      <c r="S1" t="s">
        <v>134</v>
      </c>
      <c r="T1" t="s">
        <v>135</v>
      </c>
      <c r="U1" t="s">
        <v>136</v>
      </c>
      <c r="V1" t="s">
        <v>137</v>
      </c>
      <c r="W1" t="s">
        <v>138</v>
      </c>
      <c r="X1" t="s">
        <v>139</v>
      </c>
      <c r="Y1" t="s">
        <v>140</v>
      </c>
      <c r="Z1" t="s">
        <v>141</v>
      </c>
      <c r="AA1" t="s">
        <v>142</v>
      </c>
      <c r="AB1" t="s">
        <v>143</v>
      </c>
      <c r="AC1" t="s">
        <v>144</v>
      </c>
      <c r="AD1" t="s">
        <v>145</v>
      </c>
      <c r="AE1" t="s">
        <v>146</v>
      </c>
      <c r="AF1" t="s">
        <v>147</v>
      </c>
      <c r="AG1" t="s">
        <v>148</v>
      </c>
      <c r="AH1" t="s">
        <v>149</v>
      </c>
      <c r="AI1" t="s">
        <v>150</v>
      </c>
    </row>
    <row r="2" spans="1:46" x14ac:dyDescent="0.25">
      <c r="A2" t="s">
        <v>151</v>
      </c>
      <c r="B2" s="24" t="str">
        <f>IF(A2="DD01030","VALE ALIMENTAÇÃO","VALE TRANSPORTE")</f>
        <v>VALE ALIMENTAÇÃO</v>
      </c>
      <c r="C2">
        <v>1</v>
      </c>
      <c r="D2" s="21">
        <v>1001.5</v>
      </c>
      <c r="E2" s="21">
        <f>D2</f>
        <v>1001.5</v>
      </c>
      <c r="F2">
        <f>AR$2</f>
        <v>0</v>
      </c>
      <c r="G2" s="21">
        <f>E2</f>
        <v>1001.5</v>
      </c>
      <c r="H2" t="s">
        <v>153</v>
      </c>
      <c r="I2" s="21">
        <f t="shared" ref="I2:I56" si="0">AT$2</f>
        <v>0</v>
      </c>
      <c r="J2" t="s">
        <v>154</v>
      </c>
      <c r="K2" t="s">
        <v>172</v>
      </c>
      <c r="L2">
        <v>53216</v>
      </c>
      <c r="M2" t="s">
        <v>180</v>
      </c>
      <c r="N2" t="s">
        <v>159</v>
      </c>
      <c r="O2" t="s">
        <v>156</v>
      </c>
      <c r="Q2">
        <v>1933</v>
      </c>
      <c r="U2">
        <v>98</v>
      </c>
      <c r="V2">
        <v>98</v>
      </c>
      <c r="X2" t="s">
        <v>157</v>
      </c>
      <c r="AC2">
        <v>0</v>
      </c>
      <c r="AH2">
        <v>0</v>
      </c>
      <c r="AI2">
        <v>0</v>
      </c>
      <c r="AT2" s="21"/>
    </row>
    <row r="3" spans="1:46" x14ac:dyDescent="0.25">
      <c r="A3" t="s">
        <v>151</v>
      </c>
      <c r="B3" s="24" t="str">
        <f t="shared" ref="B3:B57" si="1">IF(A3="DD01030","VALE ALIMENTAÇÃO","VALE TRANSPORTE")</f>
        <v>VALE ALIMENTAÇÃO</v>
      </c>
      <c r="C3">
        <v>1</v>
      </c>
      <c r="D3" s="21">
        <v>579.5</v>
      </c>
      <c r="E3" s="21">
        <f t="shared" ref="E3:E57" si="2">D3</f>
        <v>579.5</v>
      </c>
      <c r="F3">
        <f t="shared" ref="F3:F57" si="3">AR$2</f>
        <v>0</v>
      </c>
      <c r="G3" s="21">
        <f t="shared" ref="G3:G57" si="4">E3</f>
        <v>579.5</v>
      </c>
      <c r="H3" t="s">
        <v>153</v>
      </c>
      <c r="I3" s="21">
        <f t="shared" si="0"/>
        <v>0</v>
      </c>
      <c r="J3" t="s">
        <v>154</v>
      </c>
      <c r="K3" t="s">
        <v>174</v>
      </c>
      <c r="L3">
        <v>51106</v>
      </c>
      <c r="M3" t="s">
        <v>180</v>
      </c>
      <c r="N3" t="s">
        <v>155</v>
      </c>
      <c r="O3" t="s">
        <v>156</v>
      </c>
      <c r="Q3">
        <v>1933</v>
      </c>
      <c r="U3">
        <v>98</v>
      </c>
      <c r="V3">
        <v>98</v>
      </c>
      <c r="X3" t="s">
        <v>157</v>
      </c>
      <c r="AC3">
        <v>0</v>
      </c>
      <c r="AH3">
        <v>0</v>
      </c>
      <c r="AI3">
        <v>0</v>
      </c>
      <c r="AT3" s="21"/>
    </row>
    <row r="4" spans="1:46" x14ac:dyDescent="0.25">
      <c r="A4" t="s">
        <v>151</v>
      </c>
      <c r="B4" s="24" t="str">
        <f t="shared" si="1"/>
        <v>VALE ALIMENTAÇÃO</v>
      </c>
      <c r="C4">
        <v>1</v>
      </c>
      <c r="D4" s="21">
        <v>879.5</v>
      </c>
      <c r="E4" s="21">
        <f t="shared" si="2"/>
        <v>879.5</v>
      </c>
      <c r="F4">
        <f t="shared" si="3"/>
        <v>0</v>
      </c>
      <c r="G4" s="21">
        <f t="shared" si="4"/>
        <v>879.5</v>
      </c>
      <c r="H4" t="s">
        <v>153</v>
      </c>
      <c r="I4" s="21">
        <f t="shared" si="0"/>
        <v>0</v>
      </c>
      <c r="J4" t="s">
        <v>154</v>
      </c>
      <c r="K4" t="s">
        <v>172</v>
      </c>
      <c r="L4">
        <v>53215</v>
      </c>
      <c r="M4" t="s">
        <v>180</v>
      </c>
      <c r="N4" t="s">
        <v>159</v>
      </c>
      <c r="O4" t="s">
        <v>156</v>
      </c>
      <c r="Q4">
        <v>1933</v>
      </c>
      <c r="U4">
        <v>98</v>
      </c>
      <c r="V4">
        <v>98</v>
      </c>
      <c r="X4" t="s">
        <v>157</v>
      </c>
      <c r="AC4">
        <v>0</v>
      </c>
      <c r="AH4">
        <v>0</v>
      </c>
      <c r="AI4">
        <v>0</v>
      </c>
    </row>
    <row r="5" spans="1:46" x14ac:dyDescent="0.25">
      <c r="A5" t="s">
        <v>151</v>
      </c>
      <c r="B5" s="24" t="str">
        <f t="shared" si="1"/>
        <v>VALE ALIMENTAÇÃO</v>
      </c>
      <c r="C5">
        <v>1</v>
      </c>
      <c r="D5" s="21">
        <v>579.5</v>
      </c>
      <c r="E5" s="21">
        <f t="shared" si="2"/>
        <v>579.5</v>
      </c>
      <c r="F5">
        <f t="shared" si="3"/>
        <v>0</v>
      </c>
      <c r="G5" s="21">
        <f t="shared" si="4"/>
        <v>579.5</v>
      </c>
      <c r="H5" t="s">
        <v>153</v>
      </c>
      <c r="I5" s="21">
        <f t="shared" si="0"/>
        <v>0</v>
      </c>
      <c r="J5" t="s">
        <v>154</v>
      </c>
      <c r="K5" t="s">
        <v>172</v>
      </c>
      <c r="L5">
        <v>53210</v>
      </c>
      <c r="M5" t="s">
        <v>180</v>
      </c>
      <c r="N5" t="s">
        <v>159</v>
      </c>
      <c r="O5" t="s">
        <v>156</v>
      </c>
      <c r="Q5">
        <v>1933</v>
      </c>
      <c r="U5">
        <v>98</v>
      </c>
      <c r="V5">
        <v>98</v>
      </c>
      <c r="X5" t="s">
        <v>157</v>
      </c>
      <c r="AC5">
        <v>0</v>
      </c>
      <c r="AH5">
        <v>0</v>
      </c>
      <c r="AI5">
        <v>0</v>
      </c>
    </row>
    <row r="6" spans="1:46" x14ac:dyDescent="0.25">
      <c r="A6" t="s">
        <v>151</v>
      </c>
      <c r="B6" s="24" t="str">
        <f t="shared" si="1"/>
        <v>VALE ALIMENTAÇÃO</v>
      </c>
      <c r="C6">
        <v>1</v>
      </c>
      <c r="D6" s="21">
        <v>579.5</v>
      </c>
      <c r="E6" s="21">
        <f t="shared" si="2"/>
        <v>579.5</v>
      </c>
      <c r="F6">
        <f t="shared" si="3"/>
        <v>0</v>
      </c>
      <c r="G6" s="21">
        <f t="shared" si="4"/>
        <v>579.5</v>
      </c>
      <c r="H6" t="s">
        <v>153</v>
      </c>
      <c r="I6" s="21">
        <f t="shared" si="0"/>
        <v>0</v>
      </c>
      <c r="J6" t="s">
        <v>154</v>
      </c>
      <c r="K6" t="s">
        <v>173</v>
      </c>
      <c r="L6">
        <v>52100</v>
      </c>
      <c r="M6" t="s">
        <v>180</v>
      </c>
      <c r="N6" t="s">
        <v>155</v>
      </c>
      <c r="O6" t="s">
        <v>156</v>
      </c>
      <c r="Q6">
        <v>1933</v>
      </c>
      <c r="U6">
        <v>98</v>
      </c>
      <c r="V6">
        <v>98</v>
      </c>
      <c r="X6" t="s">
        <v>157</v>
      </c>
      <c r="AC6">
        <v>0</v>
      </c>
      <c r="AH6">
        <v>0</v>
      </c>
      <c r="AI6">
        <v>0</v>
      </c>
    </row>
    <row r="7" spans="1:46" x14ac:dyDescent="0.25">
      <c r="A7" t="s">
        <v>151</v>
      </c>
      <c r="B7" s="24" t="str">
        <f t="shared" si="1"/>
        <v>VALE ALIMENTAÇÃO</v>
      </c>
      <c r="C7">
        <v>1</v>
      </c>
      <c r="D7" s="21">
        <v>879.5</v>
      </c>
      <c r="E7" s="21">
        <f t="shared" si="2"/>
        <v>879.5</v>
      </c>
      <c r="F7">
        <f t="shared" si="3"/>
        <v>0</v>
      </c>
      <c r="G7" s="21">
        <f t="shared" si="4"/>
        <v>879.5</v>
      </c>
      <c r="H7" t="s">
        <v>153</v>
      </c>
      <c r="I7" s="21">
        <f t="shared" si="0"/>
        <v>0</v>
      </c>
      <c r="J7" t="s">
        <v>154</v>
      </c>
      <c r="K7" t="s">
        <v>173</v>
      </c>
      <c r="L7">
        <v>52100</v>
      </c>
      <c r="M7" t="s">
        <v>180</v>
      </c>
      <c r="N7" t="s">
        <v>155</v>
      </c>
      <c r="O7" t="s">
        <v>156</v>
      </c>
      <c r="Q7">
        <v>1933</v>
      </c>
      <c r="U7">
        <v>98</v>
      </c>
      <c r="V7">
        <v>98</v>
      </c>
      <c r="X7" t="s">
        <v>157</v>
      </c>
      <c r="AC7">
        <v>0</v>
      </c>
      <c r="AH7">
        <v>0</v>
      </c>
      <c r="AI7">
        <v>0</v>
      </c>
    </row>
    <row r="8" spans="1:46" x14ac:dyDescent="0.25">
      <c r="A8" t="s">
        <v>151</v>
      </c>
      <c r="B8" s="24" t="str">
        <f t="shared" si="1"/>
        <v>VALE ALIMENTAÇÃO</v>
      </c>
      <c r="C8">
        <v>1</v>
      </c>
      <c r="D8" s="21">
        <v>879.5</v>
      </c>
      <c r="E8" s="21">
        <f t="shared" si="2"/>
        <v>879.5</v>
      </c>
      <c r="F8">
        <f t="shared" si="3"/>
        <v>0</v>
      </c>
      <c r="G8" s="21">
        <f t="shared" si="4"/>
        <v>879.5</v>
      </c>
      <c r="H8" t="s">
        <v>153</v>
      </c>
      <c r="I8" s="21">
        <f t="shared" si="0"/>
        <v>0</v>
      </c>
      <c r="J8" t="s">
        <v>154</v>
      </c>
      <c r="K8" t="s">
        <v>172</v>
      </c>
      <c r="L8">
        <v>53300</v>
      </c>
      <c r="M8" t="s">
        <v>181</v>
      </c>
      <c r="N8" t="s">
        <v>159</v>
      </c>
      <c r="O8" t="s">
        <v>156</v>
      </c>
      <c r="Q8">
        <v>1933</v>
      </c>
      <c r="U8">
        <v>98</v>
      </c>
      <c r="V8">
        <v>98</v>
      </c>
      <c r="X8" t="s">
        <v>157</v>
      </c>
      <c r="AC8">
        <v>0</v>
      </c>
      <c r="AH8">
        <v>0</v>
      </c>
      <c r="AI8">
        <v>0</v>
      </c>
    </row>
    <row r="9" spans="1:46" x14ac:dyDescent="0.25">
      <c r="A9" t="s">
        <v>151</v>
      </c>
      <c r="B9" s="24" t="str">
        <f t="shared" si="1"/>
        <v>VALE ALIMENTAÇÃO</v>
      </c>
      <c r="C9">
        <v>1</v>
      </c>
      <c r="D9" s="21">
        <v>579.5</v>
      </c>
      <c r="E9" s="21">
        <f t="shared" si="2"/>
        <v>579.5</v>
      </c>
      <c r="F9">
        <f t="shared" si="3"/>
        <v>0</v>
      </c>
      <c r="G9" s="21">
        <f t="shared" si="4"/>
        <v>579.5</v>
      </c>
      <c r="H9" t="s">
        <v>153</v>
      </c>
      <c r="I9" s="21">
        <f t="shared" si="0"/>
        <v>0</v>
      </c>
      <c r="J9" t="s">
        <v>154</v>
      </c>
      <c r="K9" t="s">
        <v>174</v>
      </c>
      <c r="L9">
        <v>51113</v>
      </c>
      <c r="M9" t="s">
        <v>180</v>
      </c>
      <c r="N9" t="s">
        <v>155</v>
      </c>
      <c r="O9" t="s">
        <v>156</v>
      </c>
      <c r="Q9">
        <v>1933</v>
      </c>
      <c r="U9">
        <v>98</v>
      </c>
      <c r="V9">
        <v>98</v>
      </c>
      <c r="X9" t="s">
        <v>157</v>
      </c>
      <c r="AC9">
        <v>0</v>
      </c>
      <c r="AH9">
        <v>0</v>
      </c>
      <c r="AI9">
        <v>0</v>
      </c>
    </row>
    <row r="10" spans="1:46" x14ac:dyDescent="0.25">
      <c r="A10" t="s">
        <v>151</v>
      </c>
      <c r="B10" s="24" t="str">
        <f t="shared" si="1"/>
        <v>VALE ALIMENTAÇÃO</v>
      </c>
      <c r="C10">
        <v>1</v>
      </c>
      <c r="D10" s="21">
        <v>879.5</v>
      </c>
      <c r="E10" s="21">
        <f t="shared" si="2"/>
        <v>879.5</v>
      </c>
      <c r="F10">
        <f t="shared" si="3"/>
        <v>0</v>
      </c>
      <c r="G10" s="21">
        <f t="shared" si="4"/>
        <v>879.5</v>
      </c>
      <c r="H10" t="s">
        <v>153</v>
      </c>
      <c r="I10" s="21">
        <f t="shared" si="0"/>
        <v>0</v>
      </c>
      <c r="J10" t="s">
        <v>154</v>
      </c>
      <c r="K10" t="s">
        <v>173</v>
      </c>
      <c r="L10">
        <v>52201</v>
      </c>
      <c r="M10" t="s">
        <v>180</v>
      </c>
      <c r="N10" t="s">
        <v>155</v>
      </c>
      <c r="O10" t="s">
        <v>156</v>
      </c>
      <c r="Q10">
        <v>1933</v>
      </c>
      <c r="U10">
        <v>98</v>
      </c>
      <c r="V10">
        <v>98</v>
      </c>
      <c r="X10" t="s">
        <v>157</v>
      </c>
      <c r="AC10">
        <v>0</v>
      </c>
      <c r="AH10">
        <v>0</v>
      </c>
      <c r="AI10">
        <v>0</v>
      </c>
    </row>
    <row r="11" spans="1:46" x14ac:dyDescent="0.25">
      <c r="A11" t="s">
        <v>151</v>
      </c>
      <c r="B11" s="24" t="str">
        <f t="shared" si="1"/>
        <v>VALE ALIMENTAÇÃO</v>
      </c>
      <c r="C11">
        <v>1</v>
      </c>
      <c r="D11" s="21">
        <v>879.5</v>
      </c>
      <c r="E11" s="21">
        <f t="shared" si="2"/>
        <v>879.5</v>
      </c>
      <c r="F11">
        <f t="shared" si="3"/>
        <v>0</v>
      </c>
      <c r="G11" s="21">
        <f t="shared" si="4"/>
        <v>879.5</v>
      </c>
      <c r="H11" t="s">
        <v>153</v>
      </c>
      <c r="I11" s="21">
        <f t="shared" si="0"/>
        <v>0</v>
      </c>
      <c r="J11" t="s">
        <v>154</v>
      </c>
      <c r="K11" t="s">
        <v>172</v>
      </c>
      <c r="L11">
        <v>53211</v>
      </c>
      <c r="M11" t="s">
        <v>180</v>
      </c>
      <c r="N11" t="s">
        <v>159</v>
      </c>
      <c r="O11" t="s">
        <v>156</v>
      </c>
      <c r="Q11">
        <v>1933</v>
      </c>
      <c r="U11">
        <v>98</v>
      </c>
      <c r="V11">
        <v>98</v>
      </c>
      <c r="X11" t="s">
        <v>157</v>
      </c>
      <c r="AC11">
        <v>0</v>
      </c>
      <c r="AH11">
        <v>0</v>
      </c>
      <c r="AI11">
        <v>0</v>
      </c>
    </row>
    <row r="12" spans="1:46" x14ac:dyDescent="0.25">
      <c r="A12" t="s">
        <v>151</v>
      </c>
      <c r="B12" s="24" t="str">
        <f t="shared" si="1"/>
        <v>VALE ALIMENTAÇÃO</v>
      </c>
      <c r="C12">
        <v>1</v>
      </c>
      <c r="D12" s="21">
        <v>879.5</v>
      </c>
      <c r="E12" s="21">
        <f t="shared" si="2"/>
        <v>879.5</v>
      </c>
      <c r="F12">
        <f t="shared" si="3"/>
        <v>0</v>
      </c>
      <c r="G12" s="21">
        <f t="shared" si="4"/>
        <v>879.5</v>
      </c>
      <c r="H12" t="s">
        <v>153</v>
      </c>
      <c r="I12" s="21">
        <f t="shared" si="0"/>
        <v>0</v>
      </c>
      <c r="J12" t="s">
        <v>154</v>
      </c>
      <c r="K12" t="s">
        <v>172</v>
      </c>
      <c r="L12">
        <v>53200</v>
      </c>
      <c r="M12" t="s">
        <v>181</v>
      </c>
      <c r="N12" t="s">
        <v>159</v>
      </c>
      <c r="O12" t="s">
        <v>156</v>
      </c>
      <c r="Q12">
        <v>1933</v>
      </c>
      <c r="U12">
        <v>98</v>
      </c>
      <c r="V12">
        <v>98</v>
      </c>
      <c r="X12" t="s">
        <v>157</v>
      </c>
      <c r="AC12">
        <v>0</v>
      </c>
      <c r="AH12">
        <v>0</v>
      </c>
      <c r="AI12">
        <v>0</v>
      </c>
    </row>
    <row r="13" spans="1:46" x14ac:dyDescent="0.25">
      <c r="A13" t="s">
        <v>151</v>
      </c>
      <c r="B13" s="24" t="str">
        <f t="shared" si="1"/>
        <v>VALE ALIMENTAÇÃO</v>
      </c>
      <c r="C13">
        <v>1</v>
      </c>
      <c r="D13" s="21">
        <v>879.5</v>
      </c>
      <c r="E13" s="21">
        <f t="shared" si="2"/>
        <v>879.5</v>
      </c>
      <c r="F13">
        <f t="shared" si="3"/>
        <v>0</v>
      </c>
      <c r="G13" s="21">
        <f t="shared" si="4"/>
        <v>879.5</v>
      </c>
      <c r="H13" t="s">
        <v>153</v>
      </c>
      <c r="I13" s="21">
        <f t="shared" si="0"/>
        <v>0</v>
      </c>
      <c r="J13" t="s">
        <v>154</v>
      </c>
      <c r="K13" t="s">
        <v>174</v>
      </c>
      <c r="L13">
        <v>51113</v>
      </c>
      <c r="M13" t="s">
        <v>180</v>
      </c>
      <c r="N13" t="s">
        <v>155</v>
      </c>
      <c r="O13" t="s">
        <v>156</v>
      </c>
      <c r="Q13">
        <v>1933</v>
      </c>
      <c r="U13">
        <v>98</v>
      </c>
      <c r="V13">
        <v>98</v>
      </c>
      <c r="X13" t="s">
        <v>157</v>
      </c>
      <c r="AC13">
        <v>0</v>
      </c>
      <c r="AH13">
        <v>0</v>
      </c>
      <c r="AI13">
        <v>0</v>
      </c>
    </row>
    <row r="14" spans="1:46" x14ac:dyDescent="0.25">
      <c r="A14" t="s">
        <v>151</v>
      </c>
      <c r="B14" s="24" t="str">
        <f t="shared" si="1"/>
        <v>VALE ALIMENTAÇÃO</v>
      </c>
      <c r="C14">
        <v>1</v>
      </c>
      <c r="D14" s="21">
        <v>849</v>
      </c>
      <c r="E14" s="21">
        <f t="shared" si="2"/>
        <v>849</v>
      </c>
      <c r="F14">
        <f t="shared" si="3"/>
        <v>0</v>
      </c>
      <c r="G14" s="21">
        <f t="shared" si="4"/>
        <v>849</v>
      </c>
      <c r="H14" t="s">
        <v>153</v>
      </c>
      <c r="I14" s="21">
        <f t="shared" si="0"/>
        <v>0</v>
      </c>
      <c r="J14" t="s">
        <v>154</v>
      </c>
      <c r="K14" t="s">
        <v>172</v>
      </c>
      <c r="L14">
        <v>53211</v>
      </c>
      <c r="M14" t="s">
        <v>180</v>
      </c>
      <c r="N14" t="s">
        <v>159</v>
      </c>
      <c r="O14" t="s">
        <v>156</v>
      </c>
      <c r="Q14">
        <v>1933</v>
      </c>
      <c r="U14">
        <v>98</v>
      </c>
      <c r="V14">
        <v>98</v>
      </c>
      <c r="X14" t="s">
        <v>157</v>
      </c>
      <c r="AC14">
        <v>0</v>
      </c>
      <c r="AH14">
        <v>0</v>
      </c>
      <c r="AI14">
        <v>0</v>
      </c>
    </row>
    <row r="15" spans="1:46" x14ac:dyDescent="0.25">
      <c r="A15" t="s">
        <v>151</v>
      </c>
      <c r="B15" s="24" t="str">
        <f t="shared" si="1"/>
        <v>VALE ALIMENTAÇÃO</v>
      </c>
      <c r="C15">
        <v>1</v>
      </c>
      <c r="D15" s="21">
        <v>579.5</v>
      </c>
      <c r="E15" s="21">
        <f t="shared" si="2"/>
        <v>579.5</v>
      </c>
      <c r="F15">
        <f t="shared" si="3"/>
        <v>0</v>
      </c>
      <c r="G15" s="21">
        <f t="shared" si="4"/>
        <v>579.5</v>
      </c>
      <c r="H15" t="s">
        <v>153</v>
      </c>
      <c r="I15" s="21">
        <f t="shared" si="0"/>
        <v>0</v>
      </c>
      <c r="J15" t="s">
        <v>154</v>
      </c>
      <c r="K15" t="s">
        <v>174</v>
      </c>
      <c r="L15">
        <v>51107</v>
      </c>
      <c r="M15" t="s">
        <v>180</v>
      </c>
      <c r="N15" t="s">
        <v>155</v>
      </c>
      <c r="O15" t="s">
        <v>156</v>
      </c>
      <c r="Q15">
        <v>1933</v>
      </c>
      <c r="U15">
        <v>98</v>
      </c>
      <c r="V15">
        <v>98</v>
      </c>
      <c r="X15" t="s">
        <v>157</v>
      </c>
      <c r="AC15">
        <v>0</v>
      </c>
      <c r="AH15">
        <v>0</v>
      </c>
      <c r="AI15">
        <v>0</v>
      </c>
    </row>
    <row r="16" spans="1:46" x14ac:dyDescent="0.25">
      <c r="A16" t="s">
        <v>151</v>
      </c>
      <c r="B16" s="24" t="str">
        <f t="shared" si="1"/>
        <v>VALE ALIMENTAÇÃO</v>
      </c>
      <c r="C16">
        <v>1</v>
      </c>
      <c r="D16" s="21">
        <v>1218.5</v>
      </c>
      <c r="E16" s="21">
        <f t="shared" si="2"/>
        <v>1218.5</v>
      </c>
      <c r="F16">
        <f t="shared" si="3"/>
        <v>0</v>
      </c>
      <c r="G16" s="21">
        <f t="shared" si="4"/>
        <v>1218.5</v>
      </c>
      <c r="H16" t="s">
        <v>153</v>
      </c>
      <c r="I16" s="21">
        <f t="shared" si="0"/>
        <v>0</v>
      </c>
      <c r="J16" t="s">
        <v>154</v>
      </c>
      <c r="K16" t="s">
        <v>172</v>
      </c>
      <c r="L16">
        <v>53200</v>
      </c>
      <c r="M16" t="s">
        <v>181</v>
      </c>
      <c r="N16" t="s">
        <v>159</v>
      </c>
      <c r="O16" t="s">
        <v>156</v>
      </c>
      <c r="Q16">
        <v>1933</v>
      </c>
      <c r="U16">
        <v>98</v>
      </c>
      <c r="V16">
        <v>98</v>
      </c>
      <c r="X16" t="s">
        <v>157</v>
      </c>
      <c r="AC16">
        <v>0</v>
      </c>
      <c r="AH16">
        <v>0</v>
      </c>
      <c r="AI16">
        <v>0</v>
      </c>
    </row>
    <row r="17" spans="1:35" x14ac:dyDescent="0.25">
      <c r="A17" t="s">
        <v>151</v>
      </c>
      <c r="B17" s="24" t="str">
        <f t="shared" si="1"/>
        <v>VALE ALIMENTAÇÃO</v>
      </c>
      <c r="C17">
        <v>1</v>
      </c>
      <c r="D17" s="21">
        <v>879.5</v>
      </c>
      <c r="E17" s="21">
        <f t="shared" si="2"/>
        <v>879.5</v>
      </c>
      <c r="F17">
        <f t="shared" si="3"/>
        <v>0</v>
      </c>
      <c r="G17" s="21">
        <f t="shared" si="4"/>
        <v>879.5</v>
      </c>
      <c r="H17" t="s">
        <v>153</v>
      </c>
      <c r="I17" s="21">
        <f t="shared" si="0"/>
        <v>0</v>
      </c>
      <c r="J17" t="s">
        <v>154</v>
      </c>
      <c r="K17" t="s">
        <v>173</v>
      </c>
      <c r="L17">
        <v>53910</v>
      </c>
      <c r="M17" t="s">
        <v>180</v>
      </c>
      <c r="N17" t="s">
        <v>159</v>
      </c>
      <c r="O17" t="s">
        <v>156</v>
      </c>
      <c r="Q17">
        <v>1933</v>
      </c>
      <c r="U17">
        <v>98</v>
      </c>
      <c r="V17">
        <v>98</v>
      </c>
      <c r="X17" t="s">
        <v>157</v>
      </c>
      <c r="AC17">
        <v>0</v>
      </c>
      <c r="AH17">
        <v>0</v>
      </c>
      <c r="AI17">
        <v>0</v>
      </c>
    </row>
    <row r="18" spans="1:35" x14ac:dyDescent="0.25">
      <c r="A18" t="s">
        <v>151</v>
      </c>
      <c r="B18" s="24" t="str">
        <f t="shared" si="1"/>
        <v>VALE ALIMENTAÇÃO</v>
      </c>
      <c r="C18">
        <v>1</v>
      </c>
      <c r="D18" s="21">
        <v>579.5</v>
      </c>
      <c r="E18" s="21">
        <f t="shared" si="2"/>
        <v>579.5</v>
      </c>
      <c r="F18">
        <f t="shared" si="3"/>
        <v>0</v>
      </c>
      <c r="G18" s="21">
        <f t="shared" si="4"/>
        <v>579.5</v>
      </c>
      <c r="H18" t="s">
        <v>153</v>
      </c>
      <c r="I18" s="21">
        <f t="shared" si="0"/>
        <v>0</v>
      </c>
      <c r="J18" t="s">
        <v>154</v>
      </c>
      <c r="K18" t="s">
        <v>172</v>
      </c>
      <c r="L18">
        <v>53215</v>
      </c>
      <c r="M18" t="s">
        <v>180</v>
      </c>
      <c r="N18" t="s">
        <v>159</v>
      </c>
      <c r="O18" t="s">
        <v>156</v>
      </c>
      <c r="Q18">
        <v>1933</v>
      </c>
      <c r="U18">
        <v>98</v>
      </c>
      <c r="V18">
        <v>98</v>
      </c>
      <c r="X18" t="s">
        <v>157</v>
      </c>
      <c r="AC18">
        <v>0</v>
      </c>
      <c r="AH18">
        <v>0</v>
      </c>
      <c r="AI18">
        <v>0</v>
      </c>
    </row>
    <row r="19" spans="1:35" x14ac:dyDescent="0.25">
      <c r="A19" t="s">
        <v>151</v>
      </c>
      <c r="B19" s="24" t="str">
        <f t="shared" si="1"/>
        <v>VALE ALIMENTAÇÃO</v>
      </c>
      <c r="C19">
        <v>1</v>
      </c>
      <c r="D19" s="21">
        <v>879.5</v>
      </c>
      <c r="E19" s="21">
        <f t="shared" si="2"/>
        <v>879.5</v>
      </c>
      <c r="F19">
        <f t="shared" si="3"/>
        <v>0</v>
      </c>
      <c r="G19" s="21">
        <f t="shared" si="4"/>
        <v>879.5</v>
      </c>
      <c r="H19" t="s">
        <v>153</v>
      </c>
      <c r="I19" s="21">
        <f t="shared" si="0"/>
        <v>0</v>
      </c>
      <c r="J19" t="s">
        <v>154</v>
      </c>
      <c r="K19" t="s">
        <v>172</v>
      </c>
      <c r="L19">
        <v>53200</v>
      </c>
      <c r="M19" t="s">
        <v>181</v>
      </c>
      <c r="N19" t="s">
        <v>159</v>
      </c>
      <c r="O19" t="s">
        <v>156</v>
      </c>
      <c r="Q19">
        <v>1933</v>
      </c>
      <c r="U19">
        <v>98</v>
      </c>
      <c r="V19">
        <v>98</v>
      </c>
      <c r="X19" t="s">
        <v>157</v>
      </c>
      <c r="AC19">
        <v>0</v>
      </c>
      <c r="AH19">
        <v>0</v>
      </c>
      <c r="AI19">
        <v>0</v>
      </c>
    </row>
    <row r="20" spans="1:35" x14ac:dyDescent="0.25">
      <c r="A20" t="s">
        <v>151</v>
      </c>
      <c r="B20" s="24" t="str">
        <f t="shared" si="1"/>
        <v>VALE ALIMENTAÇÃO</v>
      </c>
      <c r="C20">
        <v>1</v>
      </c>
      <c r="D20" s="21">
        <v>549</v>
      </c>
      <c r="E20" s="21">
        <f t="shared" si="2"/>
        <v>549</v>
      </c>
      <c r="F20">
        <f t="shared" si="3"/>
        <v>0</v>
      </c>
      <c r="G20" s="21">
        <f t="shared" si="4"/>
        <v>549</v>
      </c>
      <c r="H20" t="s">
        <v>153</v>
      </c>
      <c r="I20" s="21">
        <f t="shared" si="0"/>
        <v>0</v>
      </c>
      <c r="J20" t="s">
        <v>154</v>
      </c>
      <c r="K20" t="s">
        <v>174</v>
      </c>
      <c r="L20">
        <v>51109</v>
      </c>
      <c r="M20" t="s">
        <v>180</v>
      </c>
      <c r="N20" t="s">
        <v>155</v>
      </c>
      <c r="O20" t="s">
        <v>156</v>
      </c>
      <c r="Q20">
        <v>1933</v>
      </c>
      <c r="U20">
        <v>98</v>
      </c>
      <c r="V20">
        <v>98</v>
      </c>
      <c r="X20" t="s">
        <v>157</v>
      </c>
      <c r="AC20">
        <v>0</v>
      </c>
      <c r="AH20">
        <v>0</v>
      </c>
      <c r="AI20">
        <v>0</v>
      </c>
    </row>
    <row r="21" spans="1:35" x14ac:dyDescent="0.25">
      <c r="A21" t="s">
        <v>151</v>
      </c>
      <c r="B21" s="24" t="str">
        <f t="shared" si="1"/>
        <v>VALE ALIMENTAÇÃO</v>
      </c>
      <c r="C21">
        <v>1</v>
      </c>
      <c r="D21" s="21">
        <v>579.5</v>
      </c>
      <c r="E21" s="21">
        <f t="shared" si="2"/>
        <v>579.5</v>
      </c>
      <c r="F21">
        <f t="shared" si="3"/>
        <v>0</v>
      </c>
      <c r="G21" s="21">
        <f t="shared" si="4"/>
        <v>579.5</v>
      </c>
      <c r="H21" t="s">
        <v>153</v>
      </c>
      <c r="I21" s="21">
        <f t="shared" si="0"/>
        <v>0</v>
      </c>
      <c r="J21" t="s">
        <v>154</v>
      </c>
      <c r="K21" t="s">
        <v>174</v>
      </c>
      <c r="L21">
        <v>51500</v>
      </c>
      <c r="M21" t="s">
        <v>182</v>
      </c>
      <c r="N21" t="s">
        <v>155</v>
      </c>
      <c r="O21" t="s">
        <v>156</v>
      </c>
      <c r="Q21">
        <v>1933</v>
      </c>
      <c r="U21">
        <v>98</v>
      </c>
      <c r="V21">
        <v>98</v>
      </c>
      <c r="X21" t="s">
        <v>157</v>
      </c>
      <c r="AC21">
        <v>0</v>
      </c>
      <c r="AH21">
        <v>0</v>
      </c>
      <c r="AI21">
        <v>0</v>
      </c>
    </row>
    <row r="22" spans="1:35" x14ac:dyDescent="0.25">
      <c r="A22" t="s">
        <v>151</v>
      </c>
      <c r="B22" s="24" t="str">
        <f t="shared" si="1"/>
        <v>VALE ALIMENTAÇÃO</v>
      </c>
      <c r="C22">
        <v>1</v>
      </c>
      <c r="D22" s="21">
        <v>849</v>
      </c>
      <c r="E22" s="21">
        <f t="shared" si="2"/>
        <v>849</v>
      </c>
      <c r="F22">
        <f t="shared" si="3"/>
        <v>0</v>
      </c>
      <c r="G22" s="21">
        <f t="shared" si="4"/>
        <v>849</v>
      </c>
      <c r="H22" t="s">
        <v>153</v>
      </c>
      <c r="I22" s="21">
        <f t="shared" si="0"/>
        <v>0</v>
      </c>
      <c r="J22" t="s">
        <v>154</v>
      </c>
      <c r="K22" t="s">
        <v>172</v>
      </c>
      <c r="L22">
        <v>53300</v>
      </c>
      <c r="M22" t="s">
        <v>181</v>
      </c>
      <c r="N22" t="s">
        <v>159</v>
      </c>
      <c r="O22" t="s">
        <v>156</v>
      </c>
      <c r="Q22">
        <v>1933</v>
      </c>
      <c r="U22">
        <v>98</v>
      </c>
      <c r="V22">
        <v>98</v>
      </c>
      <c r="X22" t="s">
        <v>157</v>
      </c>
      <c r="AC22">
        <v>0</v>
      </c>
      <c r="AH22">
        <v>0</v>
      </c>
      <c r="AI22">
        <v>0</v>
      </c>
    </row>
    <row r="23" spans="1:35" x14ac:dyDescent="0.25">
      <c r="A23" t="s">
        <v>151</v>
      </c>
      <c r="B23" s="24" t="str">
        <f t="shared" si="1"/>
        <v>VALE ALIMENTAÇÃO</v>
      </c>
      <c r="C23">
        <v>1</v>
      </c>
      <c r="D23" s="21">
        <v>518.5</v>
      </c>
      <c r="E23" s="21">
        <f t="shared" si="2"/>
        <v>518.5</v>
      </c>
      <c r="F23">
        <f t="shared" si="3"/>
        <v>0</v>
      </c>
      <c r="G23" s="21">
        <f t="shared" si="4"/>
        <v>518.5</v>
      </c>
      <c r="H23" t="s">
        <v>153</v>
      </c>
      <c r="I23" s="21">
        <f t="shared" si="0"/>
        <v>0</v>
      </c>
      <c r="J23" t="s">
        <v>154</v>
      </c>
      <c r="K23" t="s">
        <v>172</v>
      </c>
      <c r="L23">
        <v>53200</v>
      </c>
      <c r="M23" t="s">
        <v>180</v>
      </c>
      <c r="N23" t="s">
        <v>159</v>
      </c>
      <c r="O23" t="s">
        <v>156</v>
      </c>
      <c r="Q23">
        <v>1933</v>
      </c>
      <c r="U23">
        <v>98</v>
      </c>
      <c r="V23">
        <v>98</v>
      </c>
      <c r="X23" t="s">
        <v>157</v>
      </c>
      <c r="AC23">
        <v>0</v>
      </c>
      <c r="AH23">
        <v>0</v>
      </c>
      <c r="AI23">
        <v>0</v>
      </c>
    </row>
    <row r="24" spans="1:35" x14ac:dyDescent="0.25">
      <c r="A24" t="s">
        <v>151</v>
      </c>
      <c r="B24" s="24" t="str">
        <f t="shared" si="1"/>
        <v>VALE ALIMENTAÇÃO</v>
      </c>
      <c r="C24">
        <v>1</v>
      </c>
      <c r="D24" s="21">
        <v>879.5</v>
      </c>
      <c r="E24" s="21">
        <f t="shared" si="2"/>
        <v>879.5</v>
      </c>
      <c r="F24">
        <f t="shared" si="3"/>
        <v>0</v>
      </c>
      <c r="G24" s="21">
        <f t="shared" si="4"/>
        <v>879.5</v>
      </c>
      <c r="H24" t="s">
        <v>153</v>
      </c>
      <c r="I24" s="21">
        <f t="shared" si="0"/>
        <v>0</v>
      </c>
      <c r="J24" t="s">
        <v>154</v>
      </c>
      <c r="K24" t="s">
        <v>172</v>
      </c>
      <c r="L24">
        <v>53200</v>
      </c>
      <c r="M24" t="s">
        <v>182</v>
      </c>
      <c r="N24" t="s">
        <v>159</v>
      </c>
      <c r="O24" t="s">
        <v>156</v>
      </c>
      <c r="Q24">
        <v>1933</v>
      </c>
      <c r="U24">
        <v>98</v>
      </c>
      <c r="V24">
        <v>98</v>
      </c>
      <c r="X24" t="s">
        <v>157</v>
      </c>
      <c r="AC24">
        <v>0</v>
      </c>
      <c r="AH24">
        <v>0</v>
      </c>
      <c r="AI24">
        <v>0</v>
      </c>
    </row>
    <row r="25" spans="1:35" x14ac:dyDescent="0.25">
      <c r="A25" t="s">
        <v>151</v>
      </c>
      <c r="B25" s="24" t="str">
        <f t="shared" si="1"/>
        <v>VALE ALIMENTAÇÃO</v>
      </c>
      <c r="C25">
        <v>1</v>
      </c>
      <c r="D25" s="21">
        <v>366.7</v>
      </c>
      <c r="E25" s="21">
        <f t="shared" si="2"/>
        <v>366.7</v>
      </c>
      <c r="F25">
        <f t="shared" si="3"/>
        <v>0</v>
      </c>
      <c r="G25" s="21">
        <f t="shared" si="4"/>
        <v>366.7</v>
      </c>
      <c r="H25" t="s">
        <v>153</v>
      </c>
      <c r="I25" s="21">
        <f t="shared" si="0"/>
        <v>0</v>
      </c>
      <c r="J25" t="s">
        <v>154</v>
      </c>
      <c r="K25" t="s">
        <v>173</v>
      </c>
      <c r="L25" t="s">
        <v>14</v>
      </c>
      <c r="M25" t="s">
        <v>180</v>
      </c>
      <c r="N25" t="s">
        <v>159</v>
      </c>
      <c r="O25" t="s">
        <v>156</v>
      </c>
      <c r="Q25">
        <v>1933</v>
      </c>
      <c r="U25">
        <v>98</v>
      </c>
      <c r="V25">
        <v>98</v>
      </c>
      <c r="X25" t="s">
        <v>157</v>
      </c>
      <c r="AC25">
        <v>0</v>
      </c>
      <c r="AH25">
        <v>0</v>
      </c>
      <c r="AI25">
        <v>0</v>
      </c>
    </row>
    <row r="26" spans="1:35" x14ac:dyDescent="0.25">
      <c r="A26" t="s">
        <v>151</v>
      </c>
      <c r="B26" s="24" t="str">
        <f t="shared" si="1"/>
        <v>VALE ALIMENTAÇÃO</v>
      </c>
      <c r="C26">
        <v>1</v>
      </c>
      <c r="D26" s="21">
        <v>879.5</v>
      </c>
      <c r="E26" s="21">
        <f t="shared" si="2"/>
        <v>879.5</v>
      </c>
      <c r="F26">
        <f t="shared" si="3"/>
        <v>0</v>
      </c>
      <c r="G26" s="21">
        <f t="shared" si="4"/>
        <v>879.5</v>
      </c>
      <c r="H26" t="s">
        <v>153</v>
      </c>
      <c r="I26" s="21">
        <f t="shared" si="0"/>
        <v>0</v>
      </c>
      <c r="J26" t="s">
        <v>154</v>
      </c>
      <c r="K26" t="s">
        <v>172</v>
      </c>
      <c r="L26">
        <v>53215</v>
      </c>
      <c r="M26" t="s">
        <v>180</v>
      </c>
      <c r="N26" t="s">
        <v>159</v>
      </c>
      <c r="O26" t="s">
        <v>156</v>
      </c>
      <c r="Q26">
        <v>1933</v>
      </c>
      <c r="U26">
        <v>98</v>
      </c>
      <c r="V26">
        <v>98</v>
      </c>
      <c r="X26" t="s">
        <v>157</v>
      </c>
      <c r="AC26">
        <v>0</v>
      </c>
      <c r="AH26">
        <v>0</v>
      </c>
      <c r="AI26">
        <v>0</v>
      </c>
    </row>
    <row r="27" spans="1:35" x14ac:dyDescent="0.25">
      <c r="A27" t="s">
        <v>151</v>
      </c>
      <c r="B27" s="24" t="str">
        <f t="shared" si="1"/>
        <v>VALE ALIMENTAÇÃO</v>
      </c>
      <c r="C27">
        <v>1</v>
      </c>
      <c r="D27" s="21">
        <v>879.5</v>
      </c>
      <c r="E27" s="21">
        <f t="shared" si="2"/>
        <v>879.5</v>
      </c>
      <c r="F27">
        <f t="shared" si="3"/>
        <v>0</v>
      </c>
      <c r="G27" s="21">
        <f t="shared" si="4"/>
        <v>879.5</v>
      </c>
      <c r="H27" t="s">
        <v>153</v>
      </c>
      <c r="I27" s="21">
        <f t="shared" si="0"/>
        <v>0</v>
      </c>
      <c r="J27" t="s">
        <v>154</v>
      </c>
      <c r="K27" t="s">
        <v>172</v>
      </c>
      <c r="L27">
        <v>53214</v>
      </c>
      <c r="M27" t="s">
        <v>180</v>
      </c>
      <c r="N27" t="s">
        <v>159</v>
      </c>
      <c r="O27" t="s">
        <v>156</v>
      </c>
      <c r="Q27">
        <v>1933</v>
      </c>
      <c r="U27">
        <v>98</v>
      </c>
      <c r="V27">
        <v>98</v>
      </c>
      <c r="X27" t="s">
        <v>157</v>
      </c>
      <c r="AC27">
        <v>0</v>
      </c>
      <c r="AH27">
        <v>0</v>
      </c>
      <c r="AI27">
        <v>0</v>
      </c>
    </row>
    <row r="28" spans="1:35" x14ac:dyDescent="0.25">
      <c r="A28" t="s">
        <v>151</v>
      </c>
      <c r="B28" s="24" t="str">
        <f t="shared" si="1"/>
        <v>VALE ALIMENTAÇÃO</v>
      </c>
      <c r="C28">
        <v>1</v>
      </c>
      <c r="D28" s="21">
        <v>879.5</v>
      </c>
      <c r="E28" s="21">
        <f t="shared" si="2"/>
        <v>879.5</v>
      </c>
      <c r="F28">
        <f t="shared" si="3"/>
        <v>0</v>
      </c>
      <c r="G28" s="21">
        <f t="shared" si="4"/>
        <v>879.5</v>
      </c>
      <c r="H28" t="s">
        <v>153</v>
      </c>
      <c r="I28" s="21">
        <f t="shared" si="0"/>
        <v>0</v>
      </c>
      <c r="J28" t="s">
        <v>154</v>
      </c>
      <c r="K28" t="s">
        <v>172</v>
      </c>
      <c r="L28">
        <v>53200</v>
      </c>
      <c r="M28" t="s">
        <v>182</v>
      </c>
      <c r="N28" t="s">
        <v>159</v>
      </c>
      <c r="O28" t="s">
        <v>156</v>
      </c>
      <c r="Q28">
        <v>1933</v>
      </c>
      <c r="U28">
        <v>98</v>
      </c>
      <c r="V28">
        <v>98</v>
      </c>
      <c r="X28" t="s">
        <v>157</v>
      </c>
      <c r="AC28">
        <v>0</v>
      </c>
      <c r="AH28">
        <v>0</v>
      </c>
      <c r="AI28">
        <v>0</v>
      </c>
    </row>
    <row r="29" spans="1:35" x14ac:dyDescent="0.25">
      <c r="A29" t="s">
        <v>151</v>
      </c>
      <c r="B29" s="24" t="str">
        <f t="shared" si="1"/>
        <v>VALE ALIMENTAÇÃO</v>
      </c>
      <c r="C29">
        <v>1</v>
      </c>
      <c r="D29" s="21">
        <v>579.5</v>
      </c>
      <c r="E29" s="21">
        <f t="shared" si="2"/>
        <v>579.5</v>
      </c>
      <c r="F29">
        <f t="shared" si="3"/>
        <v>0</v>
      </c>
      <c r="G29" s="21">
        <f t="shared" si="4"/>
        <v>579.5</v>
      </c>
      <c r="H29" t="s">
        <v>153</v>
      </c>
      <c r="I29" s="21">
        <f t="shared" si="0"/>
        <v>0</v>
      </c>
      <c r="J29" t="s">
        <v>154</v>
      </c>
      <c r="K29" t="s">
        <v>174</v>
      </c>
      <c r="L29">
        <v>51103</v>
      </c>
      <c r="M29" t="s">
        <v>180</v>
      </c>
      <c r="N29" t="s">
        <v>155</v>
      </c>
      <c r="O29" t="s">
        <v>156</v>
      </c>
      <c r="Q29">
        <v>1933</v>
      </c>
      <c r="U29">
        <v>98</v>
      </c>
      <c r="V29">
        <v>98</v>
      </c>
      <c r="X29" t="s">
        <v>157</v>
      </c>
      <c r="AC29">
        <v>0</v>
      </c>
      <c r="AH29">
        <v>0</v>
      </c>
      <c r="AI29">
        <v>0</v>
      </c>
    </row>
    <row r="30" spans="1:35" x14ac:dyDescent="0.25">
      <c r="A30" t="s">
        <v>151</v>
      </c>
      <c r="B30" s="24" t="str">
        <f t="shared" si="1"/>
        <v>VALE ALIMENTAÇÃO</v>
      </c>
      <c r="C30">
        <v>1</v>
      </c>
      <c r="D30" s="21">
        <v>579.5</v>
      </c>
      <c r="E30" s="21">
        <f t="shared" si="2"/>
        <v>579.5</v>
      </c>
      <c r="F30">
        <f t="shared" si="3"/>
        <v>0</v>
      </c>
      <c r="G30" s="21">
        <f t="shared" si="4"/>
        <v>579.5</v>
      </c>
      <c r="H30" t="s">
        <v>153</v>
      </c>
      <c r="I30" s="21">
        <f t="shared" si="0"/>
        <v>0</v>
      </c>
      <c r="J30" t="s">
        <v>154</v>
      </c>
      <c r="K30" t="s">
        <v>174</v>
      </c>
      <c r="L30">
        <v>51104</v>
      </c>
      <c r="M30" t="s">
        <v>180</v>
      </c>
      <c r="N30" t="s">
        <v>155</v>
      </c>
      <c r="O30" t="s">
        <v>156</v>
      </c>
      <c r="Q30">
        <v>1933</v>
      </c>
      <c r="U30">
        <v>98</v>
      </c>
      <c r="V30">
        <v>98</v>
      </c>
      <c r="X30" t="s">
        <v>157</v>
      </c>
      <c r="AC30">
        <v>0</v>
      </c>
      <c r="AH30">
        <v>0</v>
      </c>
      <c r="AI30">
        <v>0</v>
      </c>
    </row>
    <row r="31" spans="1:35" x14ac:dyDescent="0.25">
      <c r="A31" t="s">
        <v>151</v>
      </c>
      <c r="B31" s="24" t="str">
        <f t="shared" si="1"/>
        <v>VALE ALIMENTAÇÃO</v>
      </c>
      <c r="C31">
        <v>1</v>
      </c>
      <c r="D31" s="21">
        <v>879.5</v>
      </c>
      <c r="E31" s="21">
        <f t="shared" si="2"/>
        <v>879.5</v>
      </c>
      <c r="F31">
        <f t="shared" si="3"/>
        <v>0</v>
      </c>
      <c r="G31" s="21">
        <f t="shared" si="4"/>
        <v>879.5</v>
      </c>
      <c r="H31" t="s">
        <v>153</v>
      </c>
      <c r="I31" s="21">
        <f t="shared" si="0"/>
        <v>0</v>
      </c>
      <c r="J31" t="s">
        <v>154</v>
      </c>
      <c r="K31" t="s">
        <v>172</v>
      </c>
      <c r="L31">
        <v>53200</v>
      </c>
      <c r="M31" t="s">
        <v>181</v>
      </c>
      <c r="N31" t="s">
        <v>159</v>
      </c>
      <c r="O31" t="s">
        <v>156</v>
      </c>
      <c r="Q31">
        <v>1933</v>
      </c>
      <c r="U31">
        <v>98</v>
      </c>
      <c r="V31">
        <v>98</v>
      </c>
      <c r="X31" t="s">
        <v>157</v>
      </c>
      <c r="AC31">
        <v>0</v>
      </c>
      <c r="AH31">
        <v>0</v>
      </c>
      <c r="AI31">
        <v>0</v>
      </c>
    </row>
    <row r="32" spans="1:35" x14ac:dyDescent="0.25">
      <c r="A32" t="s">
        <v>151</v>
      </c>
      <c r="B32" s="24" t="str">
        <f t="shared" si="1"/>
        <v>VALE ALIMENTAÇÃO</v>
      </c>
      <c r="C32">
        <v>1</v>
      </c>
      <c r="D32" s="21">
        <v>879.5</v>
      </c>
      <c r="E32" s="21">
        <f t="shared" si="2"/>
        <v>879.5</v>
      </c>
      <c r="F32">
        <f t="shared" si="3"/>
        <v>0</v>
      </c>
      <c r="G32" s="21">
        <f t="shared" si="4"/>
        <v>879.5</v>
      </c>
      <c r="H32" t="s">
        <v>153</v>
      </c>
      <c r="I32" s="21">
        <f t="shared" si="0"/>
        <v>0</v>
      </c>
      <c r="J32" t="s">
        <v>154</v>
      </c>
      <c r="K32" t="s">
        <v>172</v>
      </c>
      <c r="L32">
        <v>53217</v>
      </c>
      <c r="M32" t="s">
        <v>180</v>
      </c>
      <c r="N32" t="s">
        <v>159</v>
      </c>
      <c r="O32" t="s">
        <v>156</v>
      </c>
      <c r="Q32">
        <v>1933</v>
      </c>
      <c r="U32">
        <v>98</v>
      </c>
      <c r="V32">
        <v>98</v>
      </c>
      <c r="X32" t="s">
        <v>157</v>
      </c>
      <c r="AC32">
        <v>0</v>
      </c>
      <c r="AH32">
        <v>0</v>
      </c>
      <c r="AI32">
        <v>0</v>
      </c>
    </row>
    <row r="33" spans="1:35" x14ac:dyDescent="0.25">
      <c r="A33" t="s">
        <v>151</v>
      </c>
      <c r="B33" s="24" t="str">
        <f t="shared" si="1"/>
        <v>VALE ALIMENTAÇÃO</v>
      </c>
      <c r="C33">
        <v>1</v>
      </c>
      <c r="D33" s="21">
        <v>427</v>
      </c>
      <c r="E33" s="21">
        <f t="shared" si="2"/>
        <v>427</v>
      </c>
      <c r="F33">
        <f t="shared" si="3"/>
        <v>0</v>
      </c>
      <c r="G33" s="21">
        <f t="shared" si="4"/>
        <v>427</v>
      </c>
      <c r="H33" t="s">
        <v>153</v>
      </c>
      <c r="I33" s="21">
        <f t="shared" si="0"/>
        <v>0</v>
      </c>
      <c r="J33" t="s">
        <v>154</v>
      </c>
      <c r="K33" t="s">
        <v>172</v>
      </c>
      <c r="L33">
        <v>53200</v>
      </c>
      <c r="M33" t="s">
        <v>181</v>
      </c>
      <c r="N33" t="s">
        <v>159</v>
      </c>
      <c r="O33" t="s">
        <v>156</v>
      </c>
      <c r="Q33">
        <v>1933</v>
      </c>
      <c r="U33">
        <v>98</v>
      </c>
      <c r="V33">
        <v>98</v>
      </c>
      <c r="X33" t="s">
        <v>157</v>
      </c>
      <c r="AC33">
        <v>0</v>
      </c>
      <c r="AH33">
        <v>0</v>
      </c>
      <c r="AI33">
        <v>0</v>
      </c>
    </row>
    <row r="34" spans="1:35" x14ac:dyDescent="0.25">
      <c r="A34" t="s">
        <v>151</v>
      </c>
      <c r="B34" s="24" t="str">
        <f t="shared" si="1"/>
        <v>VALE ALIMENTAÇÃO</v>
      </c>
      <c r="C34">
        <v>1</v>
      </c>
      <c r="D34" s="21">
        <v>879.5</v>
      </c>
      <c r="E34" s="21">
        <f t="shared" si="2"/>
        <v>879.5</v>
      </c>
      <c r="F34">
        <f t="shared" si="3"/>
        <v>0</v>
      </c>
      <c r="G34" s="21">
        <f t="shared" si="4"/>
        <v>879.5</v>
      </c>
      <c r="H34" t="s">
        <v>153</v>
      </c>
      <c r="I34" s="21">
        <f t="shared" si="0"/>
        <v>0</v>
      </c>
      <c r="J34" t="s">
        <v>154</v>
      </c>
      <c r="K34" t="s">
        <v>173</v>
      </c>
      <c r="L34">
        <v>53000</v>
      </c>
      <c r="M34" t="s">
        <v>181</v>
      </c>
      <c r="N34" t="s">
        <v>159</v>
      </c>
      <c r="O34" t="s">
        <v>156</v>
      </c>
      <c r="Q34">
        <v>1933</v>
      </c>
      <c r="U34">
        <v>98</v>
      </c>
      <c r="V34">
        <v>98</v>
      </c>
      <c r="X34" t="s">
        <v>157</v>
      </c>
      <c r="AC34">
        <v>0</v>
      </c>
      <c r="AH34">
        <v>0</v>
      </c>
      <c r="AI34">
        <v>0</v>
      </c>
    </row>
    <row r="35" spans="1:35" x14ac:dyDescent="0.25">
      <c r="A35" t="s">
        <v>151</v>
      </c>
      <c r="B35" s="24" t="str">
        <f t="shared" si="1"/>
        <v>VALE ALIMENTAÇÃO</v>
      </c>
      <c r="C35">
        <v>1</v>
      </c>
      <c r="D35" s="21">
        <v>579.5</v>
      </c>
      <c r="E35" s="21">
        <f t="shared" si="2"/>
        <v>579.5</v>
      </c>
      <c r="F35">
        <f t="shared" si="3"/>
        <v>0</v>
      </c>
      <c r="G35" s="21">
        <f t="shared" si="4"/>
        <v>579.5</v>
      </c>
      <c r="H35" t="s">
        <v>153</v>
      </c>
      <c r="I35" s="21">
        <f t="shared" si="0"/>
        <v>0</v>
      </c>
      <c r="J35" t="s">
        <v>154</v>
      </c>
      <c r="K35" t="s">
        <v>173</v>
      </c>
      <c r="L35">
        <v>51201</v>
      </c>
      <c r="M35" t="s">
        <v>180</v>
      </c>
      <c r="N35" t="s">
        <v>155</v>
      </c>
      <c r="O35" t="s">
        <v>156</v>
      </c>
      <c r="Q35">
        <v>1933</v>
      </c>
      <c r="U35">
        <v>98</v>
      </c>
      <c r="V35">
        <v>98</v>
      </c>
      <c r="X35" t="s">
        <v>157</v>
      </c>
      <c r="AC35">
        <v>0</v>
      </c>
      <c r="AH35">
        <v>0</v>
      </c>
      <c r="AI35">
        <v>0</v>
      </c>
    </row>
    <row r="36" spans="1:35" x14ac:dyDescent="0.25">
      <c r="A36" t="s">
        <v>151</v>
      </c>
      <c r="B36" s="24" t="str">
        <f t="shared" si="1"/>
        <v>VALE ALIMENTAÇÃO</v>
      </c>
      <c r="C36">
        <v>1</v>
      </c>
      <c r="D36" s="21">
        <v>396.5</v>
      </c>
      <c r="E36" s="21">
        <f t="shared" si="2"/>
        <v>396.5</v>
      </c>
      <c r="F36">
        <f t="shared" si="3"/>
        <v>0</v>
      </c>
      <c r="G36" s="21">
        <f t="shared" si="4"/>
        <v>396.5</v>
      </c>
      <c r="H36" t="s">
        <v>153</v>
      </c>
      <c r="I36" s="21">
        <f t="shared" si="0"/>
        <v>0</v>
      </c>
      <c r="J36" t="s">
        <v>154</v>
      </c>
      <c r="K36" t="s">
        <v>173</v>
      </c>
      <c r="L36">
        <v>52300</v>
      </c>
      <c r="M36" t="s">
        <v>180</v>
      </c>
      <c r="N36" t="s">
        <v>155</v>
      </c>
      <c r="O36" t="s">
        <v>156</v>
      </c>
      <c r="Q36">
        <v>1933</v>
      </c>
      <c r="U36">
        <v>98</v>
      </c>
      <c r="V36">
        <v>98</v>
      </c>
      <c r="X36" t="s">
        <v>157</v>
      </c>
      <c r="AC36">
        <v>0</v>
      </c>
      <c r="AH36">
        <v>0</v>
      </c>
      <c r="AI36">
        <v>0</v>
      </c>
    </row>
    <row r="37" spans="1:35" x14ac:dyDescent="0.25">
      <c r="A37" t="s">
        <v>151</v>
      </c>
      <c r="B37" s="24" t="str">
        <f t="shared" si="1"/>
        <v>VALE ALIMENTAÇÃO</v>
      </c>
      <c r="C37">
        <v>1</v>
      </c>
      <c r="D37" s="21">
        <v>879.5</v>
      </c>
      <c r="E37" s="21">
        <f t="shared" si="2"/>
        <v>879.5</v>
      </c>
      <c r="F37">
        <f t="shared" si="3"/>
        <v>0</v>
      </c>
      <c r="G37" s="21">
        <f t="shared" si="4"/>
        <v>879.5</v>
      </c>
      <c r="H37" t="s">
        <v>153</v>
      </c>
      <c r="I37" s="21">
        <f t="shared" si="0"/>
        <v>0</v>
      </c>
      <c r="J37" t="s">
        <v>154</v>
      </c>
      <c r="K37" t="s">
        <v>172</v>
      </c>
      <c r="L37">
        <v>53200</v>
      </c>
      <c r="M37" t="s">
        <v>181</v>
      </c>
      <c r="N37" t="s">
        <v>159</v>
      </c>
      <c r="O37" t="s">
        <v>156</v>
      </c>
      <c r="Q37">
        <v>1933</v>
      </c>
      <c r="U37">
        <v>98</v>
      </c>
      <c r="V37">
        <v>98</v>
      </c>
      <c r="X37" t="s">
        <v>157</v>
      </c>
      <c r="AC37">
        <v>0</v>
      </c>
      <c r="AH37">
        <v>0</v>
      </c>
      <c r="AI37">
        <v>0</v>
      </c>
    </row>
    <row r="38" spans="1:35" x14ac:dyDescent="0.25">
      <c r="A38" t="s">
        <v>151</v>
      </c>
      <c r="B38" s="24" t="str">
        <f t="shared" si="1"/>
        <v>VALE ALIMENTAÇÃO</v>
      </c>
      <c r="C38">
        <v>1</v>
      </c>
      <c r="D38" s="21">
        <v>579.5</v>
      </c>
      <c r="E38" s="21">
        <f t="shared" si="2"/>
        <v>579.5</v>
      </c>
      <c r="F38">
        <f t="shared" si="3"/>
        <v>0</v>
      </c>
      <c r="G38" s="21">
        <f t="shared" si="4"/>
        <v>579.5</v>
      </c>
      <c r="H38" t="s">
        <v>153</v>
      </c>
      <c r="I38" s="21">
        <f t="shared" si="0"/>
        <v>0</v>
      </c>
      <c r="J38" t="s">
        <v>154</v>
      </c>
      <c r="K38" t="s">
        <v>173</v>
      </c>
      <c r="L38">
        <v>51201</v>
      </c>
      <c r="M38" t="s">
        <v>180</v>
      </c>
      <c r="N38" t="s">
        <v>155</v>
      </c>
      <c r="O38" t="s">
        <v>156</v>
      </c>
      <c r="Q38">
        <v>1933</v>
      </c>
      <c r="U38">
        <v>98</v>
      </c>
      <c r="V38">
        <v>98</v>
      </c>
      <c r="X38" t="s">
        <v>157</v>
      </c>
      <c r="AC38">
        <v>0</v>
      </c>
      <c r="AH38">
        <v>0</v>
      </c>
      <c r="AI38">
        <v>0</v>
      </c>
    </row>
    <row r="39" spans="1:35" x14ac:dyDescent="0.25">
      <c r="A39" t="s">
        <v>151</v>
      </c>
      <c r="B39" s="24" t="str">
        <f t="shared" si="1"/>
        <v>VALE ALIMENTAÇÃO</v>
      </c>
      <c r="C39">
        <v>1</v>
      </c>
      <c r="D39" s="21">
        <v>879.5</v>
      </c>
      <c r="E39" s="21">
        <f t="shared" si="2"/>
        <v>879.5</v>
      </c>
      <c r="F39">
        <f t="shared" si="3"/>
        <v>0</v>
      </c>
      <c r="G39" s="21">
        <f t="shared" si="4"/>
        <v>879.5</v>
      </c>
      <c r="H39" t="s">
        <v>153</v>
      </c>
      <c r="I39" s="21">
        <f t="shared" si="0"/>
        <v>0</v>
      </c>
      <c r="J39" t="s">
        <v>154</v>
      </c>
      <c r="K39" t="s">
        <v>174</v>
      </c>
      <c r="L39">
        <v>51113</v>
      </c>
      <c r="M39" t="s">
        <v>180</v>
      </c>
      <c r="N39" t="s">
        <v>155</v>
      </c>
      <c r="O39" t="s">
        <v>156</v>
      </c>
      <c r="Q39">
        <v>1933</v>
      </c>
      <c r="U39">
        <v>98</v>
      </c>
      <c r="V39">
        <v>98</v>
      </c>
      <c r="X39" t="s">
        <v>157</v>
      </c>
      <c r="AC39">
        <v>0</v>
      </c>
      <c r="AH39">
        <v>0</v>
      </c>
      <c r="AI39">
        <v>0</v>
      </c>
    </row>
    <row r="40" spans="1:35" x14ac:dyDescent="0.25">
      <c r="A40" t="s">
        <v>151</v>
      </c>
      <c r="B40" s="24" t="str">
        <f t="shared" si="1"/>
        <v>VALE ALIMENTAÇÃO</v>
      </c>
      <c r="C40">
        <v>1</v>
      </c>
      <c r="D40" s="21">
        <v>879.5</v>
      </c>
      <c r="E40" s="21">
        <f t="shared" si="2"/>
        <v>879.5</v>
      </c>
      <c r="F40">
        <f t="shared" si="3"/>
        <v>0</v>
      </c>
      <c r="G40" s="21">
        <f t="shared" si="4"/>
        <v>879.5</v>
      </c>
      <c r="H40" t="s">
        <v>153</v>
      </c>
      <c r="I40" s="21">
        <f t="shared" si="0"/>
        <v>0</v>
      </c>
      <c r="J40" t="s">
        <v>154</v>
      </c>
      <c r="K40" t="s">
        <v>172</v>
      </c>
      <c r="L40">
        <v>53210</v>
      </c>
      <c r="M40" t="s">
        <v>180</v>
      </c>
      <c r="N40" t="s">
        <v>159</v>
      </c>
      <c r="O40" t="s">
        <v>156</v>
      </c>
      <c r="Q40">
        <v>1933</v>
      </c>
      <c r="U40">
        <v>98</v>
      </c>
      <c r="V40">
        <v>98</v>
      </c>
      <c r="X40" t="s">
        <v>157</v>
      </c>
      <c r="AC40">
        <v>0</v>
      </c>
      <c r="AH40">
        <v>0</v>
      </c>
      <c r="AI40">
        <v>0</v>
      </c>
    </row>
    <row r="41" spans="1:35" x14ac:dyDescent="0.25">
      <c r="A41" t="s">
        <v>151</v>
      </c>
      <c r="B41" s="24" t="str">
        <f t="shared" si="1"/>
        <v>VALE ALIMENTAÇÃO</v>
      </c>
      <c r="C41">
        <v>1</v>
      </c>
      <c r="D41" s="21">
        <v>274.5</v>
      </c>
      <c r="E41" s="21">
        <f t="shared" si="2"/>
        <v>274.5</v>
      </c>
      <c r="F41">
        <f t="shared" si="3"/>
        <v>0</v>
      </c>
      <c r="G41" s="21">
        <f t="shared" si="4"/>
        <v>274.5</v>
      </c>
      <c r="H41" t="s">
        <v>153</v>
      </c>
      <c r="I41" s="21">
        <f t="shared" si="0"/>
        <v>0</v>
      </c>
      <c r="J41" t="s">
        <v>154</v>
      </c>
      <c r="K41" t="s">
        <v>174</v>
      </c>
      <c r="L41">
        <v>51111</v>
      </c>
      <c r="M41" t="s">
        <v>180</v>
      </c>
      <c r="N41" t="s">
        <v>155</v>
      </c>
      <c r="O41" t="s">
        <v>156</v>
      </c>
      <c r="Q41">
        <v>1933</v>
      </c>
      <c r="U41">
        <v>98</v>
      </c>
      <c r="V41">
        <v>98</v>
      </c>
      <c r="X41" t="s">
        <v>157</v>
      </c>
      <c r="AC41">
        <v>0</v>
      </c>
      <c r="AH41">
        <v>0</v>
      </c>
      <c r="AI41">
        <v>0</v>
      </c>
    </row>
    <row r="42" spans="1:35" x14ac:dyDescent="0.25">
      <c r="A42" t="s">
        <v>151</v>
      </c>
      <c r="B42" s="24" t="str">
        <f t="shared" si="1"/>
        <v>VALE ALIMENTAÇÃO</v>
      </c>
      <c r="C42">
        <v>1</v>
      </c>
      <c r="D42" s="21">
        <v>879.5</v>
      </c>
      <c r="E42" s="21">
        <f t="shared" si="2"/>
        <v>879.5</v>
      </c>
      <c r="F42">
        <f t="shared" si="3"/>
        <v>0</v>
      </c>
      <c r="G42" s="21">
        <f t="shared" si="4"/>
        <v>879.5</v>
      </c>
      <c r="H42" t="s">
        <v>153</v>
      </c>
      <c r="I42" s="21">
        <f t="shared" si="0"/>
        <v>0</v>
      </c>
      <c r="J42" t="s">
        <v>154</v>
      </c>
      <c r="K42" t="s">
        <v>172</v>
      </c>
      <c r="L42">
        <v>53200</v>
      </c>
      <c r="M42" t="s">
        <v>181</v>
      </c>
      <c r="N42" t="s">
        <v>159</v>
      </c>
      <c r="O42" t="s">
        <v>156</v>
      </c>
      <c r="Q42">
        <v>1933</v>
      </c>
      <c r="U42">
        <v>98</v>
      </c>
      <c r="V42">
        <v>98</v>
      </c>
      <c r="X42" t="s">
        <v>157</v>
      </c>
      <c r="AC42">
        <v>0</v>
      </c>
      <c r="AH42">
        <v>0</v>
      </c>
      <c r="AI42">
        <v>0</v>
      </c>
    </row>
    <row r="43" spans="1:35" x14ac:dyDescent="0.25">
      <c r="A43" t="s">
        <v>151</v>
      </c>
      <c r="B43" s="24" t="str">
        <f t="shared" si="1"/>
        <v>VALE ALIMENTAÇÃO</v>
      </c>
      <c r="C43">
        <v>1</v>
      </c>
      <c r="D43" s="21">
        <v>879.5</v>
      </c>
      <c r="E43" s="21">
        <f t="shared" si="2"/>
        <v>879.5</v>
      </c>
      <c r="F43">
        <f t="shared" si="3"/>
        <v>0</v>
      </c>
      <c r="G43" s="21">
        <f t="shared" si="4"/>
        <v>879.5</v>
      </c>
      <c r="H43" t="s">
        <v>153</v>
      </c>
      <c r="I43" s="21">
        <f t="shared" si="0"/>
        <v>0</v>
      </c>
      <c r="J43" t="s">
        <v>154</v>
      </c>
      <c r="K43" t="s">
        <v>172</v>
      </c>
      <c r="L43">
        <v>53213</v>
      </c>
      <c r="M43" t="s">
        <v>180</v>
      </c>
      <c r="N43" t="s">
        <v>159</v>
      </c>
      <c r="O43" t="s">
        <v>156</v>
      </c>
      <c r="Q43">
        <v>1933</v>
      </c>
      <c r="U43">
        <v>98</v>
      </c>
      <c r="V43">
        <v>98</v>
      </c>
      <c r="X43" t="s">
        <v>157</v>
      </c>
      <c r="AC43">
        <v>0</v>
      </c>
      <c r="AH43">
        <v>0</v>
      </c>
      <c r="AI43">
        <v>0</v>
      </c>
    </row>
    <row r="44" spans="1:35" x14ac:dyDescent="0.25">
      <c r="A44" t="s">
        <v>151</v>
      </c>
      <c r="B44" s="24" t="str">
        <f t="shared" si="1"/>
        <v>VALE ALIMENTAÇÃO</v>
      </c>
      <c r="C44">
        <v>1</v>
      </c>
      <c r="D44" s="21">
        <v>427</v>
      </c>
      <c r="E44" s="21">
        <f t="shared" si="2"/>
        <v>427</v>
      </c>
      <c r="F44">
        <f t="shared" si="3"/>
        <v>0</v>
      </c>
      <c r="G44" s="21">
        <f t="shared" si="4"/>
        <v>427</v>
      </c>
      <c r="H44" t="s">
        <v>153</v>
      </c>
      <c r="I44" s="21">
        <f t="shared" si="0"/>
        <v>0</v>
      </c>
      <c r="J44" t="s">
        <v>154</v>
      </c>
      <c r="K44" t="s">
        <v>172</v>
      </c>
      <c r="L44">
        <v>53211</v>
      </c>
      <c r="M44" t="s">
        <v>180</v>
      </c>
      <c r="N44" t="s">
        <v>159</v>
      </c>
      <c r="O44" t="s">
        <v>156</v>
      </c>
      <c r="Q44">
        <v>1933</v>
      </c>
      <c r="U44">
        <v>98</v>
      </c>
      <c r="V44">
        <v>98</v>
      </c>
      <c r="X44" t="s">
        <v>157</v>
      </c>
      <c r="AC44">
        <v>0</v>
      </c>
      <c r="AH44">
        <v>0</v>
      </c>
      <c r="AI44">
        <v>0</v>
      </c>
    </row>
    <row r="45" spans="1:35" x14ac:dyDescent="0.25">
      <c r="A45" t="s">
        <v>151</v>
      </c>
      <c r="B45" s="24" t="str">
        <f t="shared" si="1"/>
        <v>VALE ALIMENTAÇÃO</v>
      </c>
      <c r="C45">
        <v>1</v>
      </c>
      <c r="D45" s="21">
        <v>579.5</v>
      </c>
      <c r="E45" s="21">
        <f t="shared" si="2"/>
        <v>579.5</v>
      </c>
      <c r="F45">
        <f t="shared" si="3"/>
        <v>0</v>
      </c>
      <c r="G45" s="21">
        <f t="shared" si="4"/>
        <v>579.5</v>
      </c>
      <c r="H45" t="s">
        <v>153</v>
      </c>
      <c r="I45" s="21">
        <f t="shared" si="0"/>
        <v>0</v>
      </c>
      <c r="J45" t="s">
        <v>154</v>
      </c>
      <c r="K45" t="s">
        <v>173</v>
      </c>
      <c r="L45">
        <v>52100</v>
      </c>
      <c r="M45" t="s">
        <v>180</v>
      </c>
      <c r="N45" t="s">
        <v>155</v>
      </c>
      <c r="O45" t="s">
        <v>156</v>
      </c>
      <c r="Q45">
        <v>1933</v>
      </c>
      <c r="U45">
        <v>98</v>
      </c>
      <c r="V45">
        <v>98</v>
      </c>
      <c r="X45" t="s">
        <v>157</v>
      </c>
      <c r="AC45">
        <v>0</v>
      </c>
      <c r="AH45">
        <v>0</v>
      </c>
      <c r="AI45">
        <v>0</v>
      </c>
    </row>
    <row r="46" spans="1:35" x14ac:dyDescent="0.25">
      <c r="A46" t="s">
        <v>151</v>
      </c>
      <c r="B46" s="24" t="str">
        <f t="shared" si="1"/>
        <v>VALE ALIMENTAÇÃO</v>
      </c>
      <c r="C46">
        <v>1</v>
      </c>
      <c r="D46" s="21">
        <v>183</v>
      </c>
      <c r="E46" s="21">
        <f t="shared" si="2"/>
        <v>183</v>
      </c>
      <c r="F46">
        <f t="shared" si="3"/>
        <v>0</v>
      </c>
      <c r="G46" s="21">
        <f t="shared" si="4"/>
        <v>183</v>
      </c>
      <c r="H46" t="s">
        <v>153</v>
      </c>
      <c r="I46" s="21">
        <f t="shared" si="0"/>
        <v>0</v>
      </c>
      <c r="J46" t="s">
        <v>154</v>
      </c>
      <c r="K46" t="s">
        <v>172</v>
      </c>
      <c r="L46">
        <v>53210</v>
      </c>
      <c r="M46" t="s">
        <v>180</v>
      </c>
      <c r="N46" t="s">
        <v>159</v>
      </c>
      <c r="O46" t="s">
        <v>156</v>
      </c>
      <c r="Q46">
        <v>1933</v>
      </c>
      <c r="U46">
        <v>98</v>
      </c>
      <c r="V46">
        <v>98</v>
      </c>
      <c r="X46" t="s">
        <v>157</v>
      </c>
      <c r="AC46">
        <v>0</v>
      </c>
      <c r="AH46">
        <v>0</v>
      </c>
      <c r="AI46">
        <v>0</v>
      </c>
    </row>
    <row r="47" spans="1:35" x14ac:dyDescent="0.25">
      <c r="A47" t="s">
        <v>151</v>
      </c>
      <c r="B47" s="24" t="str">
        <f t="shared" si="1"/>
        <v>VALE ALIMENTAÇÃO</v>
      </c>
      <c r="C47">
        <v>1</v>
      </c>
      <c r="D47" s="21">
        <v>879.5</v>
      </c>
      <c r="E47" s="21">
        <f t="shared" si="2"/>
        <v>879.5</v>
      </c>
      <c r="F47">
        <f t="shared" si="3"/>
        <v>0</v>
      </c>
      <c r="G47" s="21">
        <f t="shared" si="4"/>
        <v>879.5</v>
      </c>
      <c r="H47" t="s">
        <v>153</v>
      </c>
      <c r="I47" s="21">
        <f t="shared" si="0"/>
        <v>0</v>
      </c>
      <c r="J47" t="s">
        <v>154</v>
      </c>
      <c r="K47" t="s">
        <v>174</v>
      </c>
      <c r="L47">
        <v>51700</v>
      </c>
      <c r="M47" t="s">
        <v>181</v>
      </c>
      <c r="N47" t="s">
        <v>155</v>
      </c>
      <c r="O47" t="s">
        <v>156</v>
      </c>
      <c r="Q47">
        <v>1933</v>
      </c>
      <c r="U47">
        <v>98</v>
      </c>
      <c r="V47">
        <v>98</v>
      </c>
      <c r="X47" t="s">
        <v>157</v>
      </c>
      <c r="AC47">
        <v>0</v>
      </c>
      <c r="AH47">
        <v>0</v>
      </c>
      <c r="AI47">
        <v>0</v>
      </c>
    </row>
    <row r="48" spans="1:35" x14ac:dyDescent="0.25">
      <c r="A48" t="s">
        <v>151</v>
      </c>
      <c r="B48" s="24" t="str">
        <f t="shared" si="1"/>
        <v>VALE ALIMENTAÇÃO</v>
      </c>
      <c r="C48">
        <v>1</v>
      </c>
      <c r="D48" s="21">
        <v>579.5</v>
      </c>
      <c r="E48" s="21">
        <f t="shared" si="2"/>
        <v>579.5</v>
      </c>
      <c r="F48">
        <f t="shared" si="3"/>
        <v>0</v>
      </c>
      <c r="G48" s="21">
        <f t="shared" si="4"/>
        <v>579.5</v>
      </c>
      <c r="H48" t="s">
        <v>153</v>
      </c>
      <c r="I48" s="21">
        <f t="shared" si="0"/>
        <v>0</v>
      </c>
      <c r="J48" t="s">
        <v>154</v>
      </c>
      <c r="K48" t="s">
        <v>173</v>
      </c>
      <c r="L48">
        <v>53000</v>
      </c>
      <c r="M48" t="s">
        <v>180</v>
      </c>
      <c r="N48" t="s">
        <v>159</v>
      </c>
      <c r="O48" t="s">
        <v>156</v>
      </c>
      <c r="Q48">
        <v>1933</v>
      </c>
      <c r="U48">
        <v>98</v>
      </c>
      <c r="V48">
        <v>98</v>
      </c>
      <c r="X48" t="s">
        <v>157</v>
      </c>
      <c r="AC48">
        <v>0</v>
      </c>
      <c r="AH48">
        <v>0</v>
      </c>
      <c r="AI48">
        <v>0</v>
      </c>
    </row>
    <row r="49" spans="1:35" x14ac:dyDescent="0.25">
      <c r="A49" t="s">
        <v>151</v>
      </c>
      <c r="B49" s="24" t="str">
        <f t="shared" si="1"/>
        <v>VALE ALIMENTAÇÃO</v>
      </c>
      <c r="C49">
        <v>1</v>
      </c>
      <c r="D49" s="21">
        <v>849</v>
      </c>
      <c r="E49" s="21">
        <f t="shared" si="2"/>
        <v>849</v>
      </c>
      <c r="F49">
        <f t="shared" si="3"/>
        <v>0</v>
      </c>
      <c r="G49" s="21">
        <f t="shared" si="4"/>
        <v>849</v>
      </c>
      <c r="H49" t="s">
        <v>153</v>
      </c>
      <c r="I49" s="21">
        <f t="shared" si="0"/>
        <v>0</v>
      </c>
      <c r="J49" t="s">
        <v>154</v>
      </c>
      <c r="K49" t="s">
        <v>173</v>
      </c>
      <c r="L49" t="s">
        <v>14</v>
      </c>
      <c r="M49" t="s">
        <v>180</v>
      </c>
      <c r="N49" t="s">
        <v>159</v>
      </c>
      <c r="O49" t="s">
        <v>156</v>
      </c>
      <c r="Q49">
        <v>1933</v>
      </c>
      <c r="U49">
        <v>98</v>
      </c>
      <c r="V49">
        <v>98</v>
      </c>
      <c r="X49" t="s">
        <v>157</v>
      </c>
      <c r="AC49">
        <v>0</v>
      </c>
      <c r="AH49">
        <v>0</v>
      </c>
      <c r="AI49">
        <v>0</v>
      </c>
    </row>
    <row r="50" spans="1:35" x14ac:dyDescent="0.25">
      <c r="A50" t="s">
        <v>151</v>
      </c>
      <c r="B50" s="24" t="str">
        <f t="shared" si="1"/>
        <v>VALE ALIMENTAÇÃO</v>
      </c>
      <c r="C50">
        <v>1</v>
      </c>
      <c r="D50" s="21">
        <v>549</v>
      </c>
      <c r="E50" s="21">
        <f t="shared" si="2"/>
        <v>549</v>
      </c>
      <c r="F50">
        <f t="shared" si="3"/>
        <v>0</v>
      </c>
      <c r="G50" s="21">
        <f t="shared" si="4"/>
        <v>549</v>
      </c>
      <c r="H50" t="s">
        <v>153</v>
      </c>
      <c r="I50" s="21">
        <f t="shared" si="0"/>
        <v>0</v>
      </c>
      <c r="J50" t="s">
        <v>154</v>
      </c>
      <c r="K50" t="s">
        <v>174</v>
      </c>
      <c r="L50" t="s">
        <v>102</v>
      </c>
      <c r="M50" t="s">
        <v>180</v>
      </c>
      <c r="N50" t="s">
        <v>159</v>
      </c>
      <c r="O50" t="s">
        <v>156</v>
      </c>
      <c r="Q50">
        <v>1933</v>
      </c>
      <c r="U50">
        <v>98</v>
      </c>
      <c r="V50">
        <v>98</v>
      </c>
      <c r="X50" t="s">
        <v>157</v>
      </c>
      <c r="AC50">
        <v>0</v>
      </c>
      <c r="AH50">
        <v>0</v>
      </c>
      <c r="AI50">
        <v>0</v>
      </c>
    </row>
    <row r="51" spans="1:35" x14ac:dyDescent="0.25">
      <c r="A51" t="s">
        <v>151</v>
      </c>
      <c r="B51" s="24" t="str">
        <f t="shared" si="1"/>
        <v>VALE ALIMENTAÇÃO</v>
      </c>
      <c r="C51">
        <v>1</v>
      </c>
      <c r="D51" s="21">
        <v>579.5</v>
      </c>
      <c r="E51" s="21">
        <f t="shared" si="2"/>
        <v>579.5</v>
      </c>
      <c r="F51">
        <f t="shared" si="3"/>
        <v>0</v>
      </c>
      <c r="G51" s="21">
        <f t="shared" si="4"/>
        <v>579.5</v>
      </c>
      <c r="H51" t="s">
        <v>153</v>
      </c>
      <c r="I51" s="21">
        <f t="shared" si="0"/>
        <v>0</v>
      </c>
      <c r="J51" t="s">
        <v>154</v>
      </c>
      <c r="K51" t="s">
        <v>174</v>
      </c>
      <c r="L51">
        <v>51104</v>
      </c>
      <c r="M51" t="s">
        <v>181</v>
      </c>
      <c r="N51" t="s">
        <v>155</v>
      </c>
      <c r="O51" t="s">
        <v>156</v>
      </c>
      <c r="Q51">
        <v>1933</v>
      </c>
      <c r="U51">
        <v>98</v>
      </c>
      <c r="V51">
        <v>98</v>
      </c>
      <c r="X51" t="s">
        <v>157</v>
      </c>
      <c r="AC51">
        <v>0</v>
      </c>
      <c r="AH51">
        <v>0</v>
      </c>
      <c r="AI51">
        <v>0</v>
      </c>
    </row>
    <row r="52" spans="1:35" x14ac:dyDescent="0.25">
      <c r="A52" t="s">
        <v>151</v>
      </c>
      <c r="B52" s="24" t="str">
        <f t="shared" si="1"/>
        <v>VALE ALIMENTAÇÃO</v>
      </c>
      <c r="C52">
        <v>1</v>
      </c>
      <c r="D52" s="21">
        <v>879.5</v>
      </c>
      <c r="E52" s="21">
        <f t="shared" si="2"/>
        <v>879.5</v>
      </c>
      <c r="F52">
        <f t="shared" si="3"/>
        <v>0</v>
      </c>
      <c r="G52" s="21">
        <f t="shared" si="4"/>
        <v>879.5</v>
      </c>
      <c r="H52" t="s">
        <v>153</v>
      </c>
      <c r="I52" s="21">
        <f t="shared" si="0"/>
        <v>0</v>
      </c>
      <c r="J52" t="s">
        <v>154</v>
      </c>
      <c r="K52" t="s">
        <v>173</v>
      </c>
      <c r="L52">
        <v>52300</v>
      </c>
      <c r="M52" t="s">
        <v>180</v>
      </c>
      <c r="N52" t="s">
        <v>155</v>
      </c>
      <c r="O52" t="s">
        <v>156</v>
      </c>
      <c r="Q52">
        <v>1933</v>
      </c>
      <c r="U52">
        <v>98</v>
      </c>
      <c r="V52">
        <v>98</v>
      </c>
      <c r="X52" t="s">
        <v>157</v>
      </c>
      <c r="AC52">
        <v>0</v>
      </c>
      <c r="AH52">
        <v>0</v>
      </c>
      <c r="AI52">
        <v>0</v>
      </c>
    </row>
    <row r="53" spans="1:35" x14ac:dyDescent="0.25">
      <c r="A53" t="s">
        <v>151</v>
      </c>
      <c r="B53" s="24" t="str">
        <f t="shared" si="1"/>
        <v>VALE ALIMENTAÇÃO</v>
      </c>
      <c r="C53">
        <v>1</v>
      </c>
      <c r="D53" s="21">
        <v>879.5</v>
      </c>
      <c r="E53" s="21">
        <f t="shared" si="2"/>
        <v>879.5</v>
      </c>
      <c r="F53">
        <f t="shared" si="3"/>
        <v>0</v>
      </c>
      <c r="G53" s="21">
        <f t="shared" si="4"/>
        <v>879.5</v>
      </c>
      <c r="H53" t="s">
        <v>153</v>
      </c>
      <c r="I53" s="21">
        <f t="shared" si="0"/>
        <v>0</v>
      </c>
      <c r="J53" t="s">
        <v>154</v>
      </c>
      <c r="K53" t="s">
        <v>172</v>
      </c>
      <c r="L53">
        <v>53200</v>
      </c>
      <c r="M53" t="s">
        <v>181</v>
      </c>
      <c r="N53" t="s">
        <v>159</v>
      </c>
      <c r="O53" t="s">
        <v>156</v>
      </c>
      <c r="Q53">
        <v>1933</v>
      </c>
      <c r="U53">
        <v>98</v>
      </c>
      <c r="V53">
        <v>98</v>
      </c>
      <c r="X53" t="s">
        <v>157</v>
      </c>
      <c r="AC53">
        <v>0</v>
      </c>
      <c r="AH53">
        <v>0</v>
      </c>
      <c r="AI53">
        <v>0</v>
      </c>
    </row>
    <row r="54" spans="1:35" x14ac:dyDescent="0.25">
      <c r="A54" t="s">
        <v>151</v>
      </c>
      <c r="B54" s="24" t="str">
        <f t="shared" si="1"/>
        <v>VALE ALIMENTAÇÃO</v>
      </c>
      <c r="C54">
        <v>1</v>
      </c>
      <c r="D54" s="21">
        <v>579.5</v>
      </c>
      <c r="E54" s="21">
        <f t="shared" si="2"/>
        <v>579.5</v>
      </c>
      <c r="F54">
        <f t="shared" si="3"/>
        <v>0</v>
      </c>
      <c r="G54" s="21">
        <f t="shared" si="4"/>
        <v>579.5</v>
      </c>
      <c r="H54" t="s">
        <v>153</v>
      </c>
      <c r="I54" s="21">
        <f t="shared" si="0"/>
        <v>0</v>
      </c>
      <c r="J54" t="s">
        <v>154</v>
      </c>
      <c r="K54" t="s">
        <v>172</v>
      </c>
      <c r="L54">
        <v>53110</v>
      </c>
      <c r="M54" t="s">
        <v>180</v>
      </c>
      <c r="N54" t="s">
        <v>159</v>
      </c>
      <c r="O54" t="s">
        <v>156</v>
      </c>
      <c r="Q54">
        <v>1933</v>
      </c>
      <c r="U54">
        <v>98</v>
      </c>
      <c r="V54">
        <v>98</v>
      </c>
      <c r="X54" t="s">
        <v>157</v>
      </c>
      <c r="AC54">
        <v>0</v>
      </c>
      <c r="AH54">
        <v>0</v>
      </c>
      <c r="AI54">
        <v>0</v>
      </c>
    </row>
    <row r="55" spans="1:35" x14ac:dyDescent="0.25">
      <c r="A55" t="s">
        <v>151</v>
      </c>
      <c r="B55" s="24" t="str">
        <f t="shared" si="1"/>
        <v>VALE ALIMENTAÇÃO</v>
      </c>
      <c r="C55">
        <v>1</v>
      </c>
      <c r="D55" s="21">
        <v>579.5</v>
      </c>
      <c r="E55" s="21">
        <f t="shared" si="2"/>
        <v>579.5</v>
      </c>
      <c r="F55">
        <f t="shared" si="3"/>
        <v>0</v>
      </c>
      <c r="G55" s="21">
        <f t="shared" si="4"/>
        <v>579.5</v>
      </c>
      <c r="H55" t="s">
        <v>153</v>
      </c>
      <c r="I55" s="21">
        <f t="shared" si="0"/>
        <v>0</v>
      </c>
      <c r="J55" t="s">
        <v>154</v>
      </c>
      <c r="K55" t="s">
        <v>174</v>
      </c>
      <c r="L55">
        <v>51500</v>
      </c>
      <c r="M55" t="s">
        <v>182</v>
      </c>
      <c r="N55" t="s">
        <v>155</v>
      </c>
      <c r="O55" t="s">
        <v>156</v>
      </c>
      <c r="Q55">
        <v>1933</v>
      </c>
      <c r="U55">
        <v>98</v>
      </c>
      <c r="V55">
        <v>98</v>
      </c>
      <c r="X55" t="s">
        <v>157</v>
      </c>
      <c r="AC55">
        <v>0</v>
      </c>
      <c r="AH55">
        <v>0</v>
      </c>
      <c r="AI55">
        <v>0</v>
      </c>
    </row>
    <row r="56" spans="1:35" x14ac:dyDescent="0.25">
      <c r="A56" t="s">
        <v>151</v>
      </c>
      <c r="B56" s="24" t="str">
        <f t="shared" si="1"/>
        <v>VALE ALIMENTAÇÃO</v>
      </c>
      <c r="C56">
        <v>1</v>
      </c>
      <c r="D56" s="21">
        <v>940.5</v>
      </c>
      <c r="E56" s="21">
        <f t="shared" si="2"/>
        <v>940.5</v>
      </c>
      <c r="F56">
        <f t="shared" si="3"/>
        <v>0</v>
      </c>
      <c r="G56" s="21">
        <f t="shared" si="4"/>
        <v>940.5</v>
      </c>
      <c r="H56" t="s">
        <v>153</v>
      </c>
      <c r="I56" s="21">
        <f t="shared" si="0"/>
        <v>0</v>
      </c>
      <c r="J56" t="s">
        <v>154</v>
      </c>
      <c r="K56" t="s">
        <v>172</v>
      </c>
      <c r="L56">
        <v>53300</v>
      </c>
      <c r="M56" t="s">
        <v>180</v>
      </c>
      <c r="N56" t="s">
        <v>159</v>
      </c>
      <c r="O56" t="s">
        <v>156</v>
      </c>
      <c r="Q56">
        <v>1933</v>
      </c>
      <c r="U56">
        <v>98</v>
      </c>
      <c r="V56">
        <v>98</v>
      </c>
      <c r="X56" t="s">
        <v>157</v>
      </c>
      <c r="AC56">
        <v>0</v>
      </c>
      <c r="AH56">
        <v>0</v>
      </c>
      <c r="AI56">
        <v>0</v>
      </c>
    </row>
    <row r="57" spans="1:35" x14ac:dyDescent="0.25">
      <c r="A57" t="s">
        <v>179</v>
      </c>
      <c r="B57" s="24" t="str">
        <f t="shared" si="1"/>
        <v>VALE TRANSPORTE</v>
      </c>
      <c r="C57">
        <v>1</v>
      </c>
      <c r="D57" s="21">
        <v>228</v>
      </c>
      <c r="E57" s="21">
        <f t="shared" si="2"/>
        <v>228</v>
      </c>
      <c r="F57">
        <f t="shared" si="3"/>
        <v>0</v>
      </c>
      <c r="G57" s="21">
        <f t="shared" si="4"/>
        <v>228</v>
      </c>
      <c r="H57" t="s">
        <v>153</v>
      </c>
      <c r="I57" s="21">
        <f t="shared" ref="I57:I65" si="5">AT$2</f>
        <v>0</v>
      </c>
      <c r="J57" t="s">
        <v>154</v>
      </c>
      <c r="K57" t="s">
        <v>183</v>
      </c>
      <c r="L57">
        <v>52201</v>
      </c>
      <c r="M57" t="s">
        <v>180</v>
      </c>
      <c r="N57" t="s">
        <v>155</v>
      </c>
      <c r="O57" t="s">
        <v>156</v>
      </c>
      <c r="Q57">
        <v>1933</v>
      </c>
      <c r="U57">
        <v>98</v>
      </c>
      <c r="V57">
        <v>98</v>
      </c>
      <c r="X57" t="s">
        <v>157</v>
      </c>
      <c r="AC57">
        <v>0</v>
      </c>
      <c r="AH57">
        <v>0</v>
      </c>
      <c r="AI57">
        <v>0</v>
      </c>
    </row>
    <row r="58" spans="1:35" x14ac:dyDescent="0.25">
      <c r="A58" t="s">
        <v>179</v>
      </c>
      <c r="B58" s="24" t="str">
        <f t="shared" ref="B58:B65" si="6">IF(A58="DD01030","VALE ALIMENTAÇÃO","VALE TRANSPORTE")</f>
        <v>VALE TRANSPORTE</v>
      </c>
      <c r="C58">
        <v>1</v>
      </c>
      <c r="D58" s="21">
        <v>204.25</v>
      </c>
      <c r="E58" s="21">
        <f t="shared" ref="E58:E65" si="7">D58</f>
        <v>204.25</v>
      </c>
      <c r="F58">
        <f t="shared" ref="F58:F65" si="8">AR$2</f>
        <v>0</v>
      </c>
      <c r="G58" s="21">
        <f t="shared" ref="G58:G65" si="9">E58</f>
        <v>204.25</v>
      </c>
      <c r="H58" t="s">
        <v>153</v>
      </c>
      <c r="I58" s="21">
        <f t="shared" si="5"/>
        <v>0</v>
      </c>
      <c r="J58" t="s">
        <v>154</v>
      </c>
      <c r="K58" t="s">
        <v>158</v>
      </c>
      <c r="L58">
        <v>53211</v>
      </c>
      <c r="M58" t="s">
        <v>180</v>
      </c>
      <c r="N58" t="s">
        <v>159</v>
      </c>
      <c r="O58" t="s">
        <v>156</v>
      </c>
      <c r="Q58">
        <v>1933</v>
      </c>
      <c r="U58">
        <v>98</v>
      </c>
      <c r="V58">
        <v>98</v>
      </c>
      <c r="X58" t="s">
        <v>157</v>
      </c>
      <c r="AC58">
        <v>0</v>
      </c>
      <c r="AH58">
        <v>0</v>
      </c>
      <c r="AI58">
        <v>0</v>
      </c>
    </row>
    <row r="59" spans="1:35" x14ac:dyDescent="0.25">
      <c r="A59" t="s">
        <v>179</v>
      </c>
      <c r="B59" s="24" t="str">
        <f t="shared" si="6"/>
        <v>VALE TRANSPORTE</v>
      </c>
      <c r="C59">
        <v>1</v>
      </c>
      <c r="D59" s="21">
        <v>300</v>
      </c>
      <c r="E59" s="21">
        <f t="shared" si="7"/>
        <v>300</v>
      </c>
      <c r="F59">
        <f t="shared" si="8"/>
        <v>0</v>
      </c>
      <c r="G59" s="21">
        <f t="shared" si="9"/>
        <v>300</v>
      </c>
      <c r="H59" t="s">
        <v>153</v>
      </c>
      <c r="I59" s="21">
        <f t="shared" si="5"/>
        <v>0</v>
      </c>
      <c r="J59" t="s">
        <v>154</v>
      </c>
      <c r="K59" t="s">
        <v>158</v>
      </c>
      <c r="L59">
        <v>53215</v>
      </c>
      <c r="M59" t="s">
        <v>180</v>
      </c>
      <c r="N59" t="s">
        <v>159</v>
      </c>
      <c r="O59" t="s">
        <v>156</v>
      </c>
      <c r="Q59">
        <v>1933</v>
      </c>
      <c r="U59">
        <v>98</v>
      </c>
      <c r="V59">
        <v>98</v>
      </c>
      <c r="X59" t="s">
        <v>157</v>
      </c>
      <c r="AC59">
        <v>0</v>
      </c>
      <c r="AH59">
        <v>0</v>
      </c>
      <c r="AI59">
        <v>0</v>
      </c>
    </row>
    <row r="60" spans="1:35" x14ac:dyDescent="0.25">
      <c r="A60" t="s">
        <v>179</v>
      </c>
      <c r="B60" s="24" t="str">
        <f t="shared" si="6"/>
        <v>VALE TRANSPORTE</v>
      </c>
      <c r="C60">
        <v>1</v>
      </c>
      <c r="D60" s="21">
        <v>144.4</v>
      </c>
      <c r="E60" s="21">
        <f t="shared" si="7"/>
        <v>144.4</v>
      </c>
      <c r="F60">
        <f t="shared" si="8"/>
        <v>0</v>
      </c>
      <c r="G60" s="21">
        <f t="shared" si="9"/>
        <v>144.4</v>
      </c>
      <c r="H60" t="s">
        <v>153</v>
      </c>
      <c r="I60" s="21">
        <f t="shared" si="5"/>
        <v>0</v>
      </c>
      <c r="J60" t="s">
        <v>154</v>
      </c>
      <c r="K60" t="s">
        <v>158</v>
      </c>
      <c r="L60">
        <v>53300</v>
      </c>
      <c r="M60" t="s">
        <v>181</v>
      </c>
      <c r="N60" t="s">
        <v>159</v>
      </c>
      <c r="O60" t="s">
        <v>156</v>
      </c>
      <c r="Q60">
        <v>1933</v>
      </c>
      <c r="U60">
        <v>98</v>
      </c>
      <c r="V60">
        <v>98</v>
      </c>
      <c r="X60" t="s">
        <v>157</v>
      </c>
      <c r="AC60">
        <v>0</v>
      </c>
      <c r="AH60">
        <v>0</v>
      </c>
      <c r="AI60">
        <v>0</v>
      </c>
    </row>
    <row r="61" spans="1:35" x14ac:dyDescent="0.25">
      <c r="A61" t="s">
        <v>179</v>
      </c>
      <c r="B61" s="24" t="str">
        <f t="shared" si="6"/>
        <v>VALE TRANSPORTE</v>
      </c>
      <c r="C61">
        <v>1</v>
      </c>
      <c r="D61" s="21">
        <v>228</v>
      </c>
      <c r="E61" s="21">
        <f t="shared" si="7"/>
        <v>228</v>
      </c>
      <c r="F61">
        <f t="shared" si="8"/>
        <v>0</v>
      </c>
      <c r="G61" s="21">
        <f t="shared" si="9"/>
        <v>228</v>
      </c>
      <c r="H61" t="s">
        <v>153</v>
      </c>
      <c r="I61" s="21">
        <f t="shared" si="5"/>
        <v>0</v>
      </c>
      <c r="J61" t="s">
        <v>154</v>
      </c>
      <c r="K61" t="s">
        <v>183</v>
      </c>
      <c r="L61" t="s">
        <v>14</v>
      </c>
      <c r="M61" t="s">
        <v>180</v>
      </c>
      <c r="N61" t="s">
        <v>159</v>
      </c>
      <c r="O61" t="s">
        <v>156</v>
      </c>
      <c r="Q61">
        <v>1933</v>
      </c>
      <c r="U61">
        <v>98</v>
      </c>
      <c r="V61">
        <v>98</v>
      </c>
      <c r="X61" t="s">
        <v>157</v>
      </c>
      <c r="AC61">
        <v>0</v>
      </c>
      <c r="AH61">
        <v>0</v>
      </c>
      <c r="AI61">
        <v>0</v>
      </c>
    </row>
    <row r="62" spans="1:35" x14ac:dyDescent="0.25">
      <c r="A62" t="s">
        <v>179</v>
      </c>
      <c r="B62" s="24" t="str">
        <f t="shared" si="6"/>
        <v>VALE TRANSPORTE</v>
      </c>
      <c r="C62">
        <v>1</v>
      </c>
      <c r="D62" s="21">
        <v>190</v>
      </c>
      <c r="E62" s="21">
        <f t="shared" si="7"/>
        <v>190</v>
      </c>
      <c r="F62">
        <f t="shared" si="8"/>
        <v>0</v>
      </c>
      <c r="G62" s="21">
        <f t="shared" si="9"/>
        <v>190</v>
      </c>
      <c r="H62" t="s">
        <v>153</v>
      </c>
      <c r="I62" s="21">
        <f t="shared" si="5"/>
        <v>0</v>
      </c>
      <c r="J62" t="s">
        <v>154</v>
      </c>
      <c r="K62" t="s">
        <v>158</v>
      </c>
      <c r="L62">
        <v>53217</v>
      </c>
      <c r="M62" t="s">
        <v>180</v>
      </c>
      <c r="N62" t="s">
        <v>159</v>
      </c>
      <c r="O62" t="s">
        <v>156</v>
      </c>
      <c r="Q62">
        <v>1933</v>
      </c>
      <c r="U62">
        <v>98</v>
      </c>
      <c r="V62">
        <v>98</v>
      </c>
      <c r="X62" t="s">
        <v>157</v>
      </c>
      <c r="AC62">
        <v>0</v>
      </c>
      <c r="AH62">
        <v>0</v>
      </c>
      <c r="AI62">
        <v>0</v>
      </c>
    </row>
    <row r="63" spans="1:35" x14ac:dyDescent="0.25">
      <c r="A63" t="s">
        <v>179</v>
      </c>
      <c r="B63" s="24" t="str">
        <f t="shared" si="6"/>
        <v>VALE TRANSPORTE</v>
      </c>
      <c r="C63">
        <v>1</v>
      </c>
      <c r="D63" s="21">
        <v>300</v>
      </c>
      <c r="E63" s="21">
        <f t="shared" si="7"/>
        <v>300</v>
      </c>
      <c r="F63">
        <f t="shared" si="8"/>
        <v>0</v>
      </c>
      <c r="G63" s="21">
        <f t="shared" si="9"/>
        <v>300</v>
      </c>
      <c r="H63" t="s">
        <v>153</v>
      </c>
      <c r="I63" s="21">
        <f t="shared" si="5"/>
        <v>0</v>
      </c>
      <c r="J63" t="s">
        <v>154</v>
      </c>
      <c r="K63" t="s">
        <v>183</v>
      </c>
      <c r="L63">
        <v>51201</v>
      </c>
      <c r="M63" t="s">
        <v>180</v>
      </c>
      <c r="N63" t="s">
        <v>155</v>
      </c>
      <c r="O63" t="s">
        <v>156</v>
      </c>
      <c r="Q63">
        <v>1933</v>
      </c>
      <c r="U63">
        <v>98</v>
      </c>
      <c r="V63">
        <v>98</v>
      </c>
      <c r="X63" t="s">
        <v>157</v>
      </c>
      <c r="AC63">
        <v>0</v>
      </c>
      <c r="AH63">
        <v>0</v>
      </c>
      <c r="AI63">
        <v>0</v>
      </c>
    </row>
    <row r="64" spans="1:35" x14ac:dyDescent="0.25">
      <c r="A64" t="s">
        <v>179</v>
      </c>
      <c r="B64" s="24" t="str">
        <f t="shared" si="6"/>
        <v>VALE TRANSPORTE</v>
      </c>
      <c r="C64">
        <v>1</v>
      </c>
      <c r="D64" s="21">
        <v>300</v>
      </c>
      <c r="E64" s="21">
        <f t="shared" si="7"/>
        <v>300</v>
      </c>
      <c r="F64">
        <f t="shared" si="8"/>
        <v>0</v>
      </c>
      <c r="G64" s="21">
        <f t="shared" si="9"/>
        <v>300</v>
      </c>
      <c r="H64" t="s">
        <v>153</v>
      </c>
      <c r="I64" s="21">
        <f t="shared" si="5"/>
        <v>0</v>
      </c>
      <c r="J64" t="s">
        <v>154</v>
      </c>
      <c r="K64" t="s">
        <v>183</v>
      </c>
      <c r="L64">
        <v>52100</v>
      </c>
      <c r="M64" t="s">
        <v>180</v>
      </c>
      <c r="N64" t="s">
        <v>155</v>
      </c>
      <c r="O64" t="s">
        <v>156</v>
      </c>
      <c r="Q64">
        <v>1933</v>
      </c>
      <c r="U64">
        <v>98</v>
      </c>
      <c r="V64">
        <v>98</v>
      </c>
      <c r="X64" t="s">
        <v>157</v>
      </c>
      <c r="AC64">
        <v>0</v>
      </c>
      <c r="AH64">
        <v>0</v>
      </c>
      <c r="AI64">
        <v>0</v>
      </c>
    </row>
    <row r="65" spans="1:35" x14ac:dyDescent="0.25">
      <c r="A65" t="s">
        <v>179</v>
      </c>
      <c r="B65" s="24" t="str">
        <f t="shared" si="6"/>
        <v>VALE TRANSPORTE</v>
      </c>
      <c r="C65">
        <v>1</v>
      </c>
      <c r="D65" s="21">
        <v>300</v>
      </c>
      <c r="E65" s="21">
        <f t="shared" si="7"/>
        <v>300</v>
      </c>
      <c r="F65">
        <f t="shared" si="8"/>
        <v>0</v>
      </c>
      <c r="G65" s="21">
        <f t="shared" si="9"/>
        <v>300</v>
      </c>
      <c r="H65" t="s">
        <v>153</v>
      </c>
      <c r="I65" s="21">
        <f t="shared" si="5"/>
        <v>0</v>
      </c>
      <c r="J65" t="s">
        <v>154</v>
      </c>
      <c r="K65" t="s">
        <v>160</v>
      </c>
      <c r="L65">
        <v>51500</v>
      </c>
      <c r="M65" t="s">
        <v>182</v>
      </c>
      <c r="N65" t="s">
        <v>155</v>
      </c>
      <c r="O65" t="s">
        <v>156</v>
      </c>
      <c r="Q65">
        <v>1933</v>
      </c>
      <c r="U65">
        <v>98</v>
      </c>
      <c r="V65">
        <v>98</v>
      </c>
      <c r="X65" t="s">
        <v>157</v>
      </c>
      <c r="AC65">
        <v>0</v>
      </c>
      <c r="AH65">
        <v>0</v>
      </c>
      <c r="AI65">
        <v>0</v>
      </c>
    </row>
    <row r="66" spans="1:35" x14ac:dyDescent="0.25">
      <c r="B66" s="24"/>
      <c r="D66" s="21"/>
      <c r="E66" s="21"/>
      <c r="G66" s="21"/>
      <c r="I66" s="21"/>
    </row>
    <row r="67" spans="1:35" x14ac:dyDescent="0.25">
      <c r="B67" s="24"/>
      <c r="D67" s="21"/>
      <c r="E67" s="21"/>
      <c r="G67" s="21"/>
      <c r="I67" s="21"/>
    </row>
    <row r="68" spans="1:35" x14ac:dyDescent="0.25">
      <c r="B68" s="24"/>
      <c r="D68" s="21"/>
      <c r="E68" s="21"/>
      <c r="G68" s="21"/>
      <c r="I68" s="21"/>
    </row>
    <row r="69" spans="1:35" x14ac:dyDescent="0.25">
      <c r="B69" s="24"/>
      <c r="D69" s="21"/>
      <c r="E69" s="21"/>
      <c r="G69" s="21"/>
      <c r="I69" s="21"/>
    </row>
    <row r="70" spans="1:35" x14ac:dyDescent="0.25">
      <c r="B70" s="24"/>
      <c r="D70" s="21"/>
      <c r="E70" s="21"/>
      <c r="G70" s="21"/>
      <c r="I70" s="21"/>
    </row>
    <row r="71" spans="1:35" x14ac:dyDescent="0.25">
      <c r="B71" s="24"/>
      <c r="D71" s="21"/>
      <c r="E71" s="21"/>
      <c r="G71" s="21"/>
      <c r="I71" s="21"/>
    </row>
    <row r="72" spans="1:35" x14ac:dyDescent="0.25">
      <c r="B72" s="24"/>
      <c r="D72" s="21"/>
      <c r="E72" s="21"/>
      <c r="G72" s="21"/>
      <c r="I72" s="21"/>
    </row>
    <row r="73" spans="1:35" x14ac:dyDescent="0.25">
      <c r="B73" s="24"/>
      <c r="D73" s="21"/>
      <c r="E73" s="21"/>
      <c r="G73" s="21"/>
      <c r="I73" s="21"/>
    </row>
    <row r="74" spans="1:35" x14ac:dyDescent="0.25">
      <c r="B74" s="24"/>
      <c r="D74" s="21"/>
      <c r="E74" s="21"/>
      <c r="G74" s="21"/>
      <c r="I74" s="21"/>
    </row>
    <row r="75" spans="1:35" x14ac:dyDescent="0.25">
      <c r="B75" s="24"/>
      <c r="D75" s="21"/>
      <c r="E75" s="21"/>
      <c r="G75" s="21"/>
      <c r="I75" s="21"/>
    </row>
    <row r="76" spans="1:35" x14ac:dyDescent="0.25">
      <c r="B76" s="24"/>
      <c r="D76" s="21"/>
      <c r="E76" s="21"/>
      <c r="G76" s="21"/>
      <c r="I76" s="21"/>
    </row>
    <row r="77" spans="1:35" x14ac:dyDescent="0.25">
      <c r="B77" s="24"/>
      <c r="D77" s="21"/>
      <c r="E77" s="21"/>
      <c r="G77" s="21"/>
      <c r="I77" s="21"/>
    </row>
    <row r="78" spans="1:35" x14ac:dyDescent="0.25">
      <c r="B78" s="24"/>
      <c r="D78" s="21"/>
      <c r="E78" s="21"/>
      <c r="G78" s="21"/>
      <c r="I78" s="21"/>
    </row>
    <row r="79" spans="1:35" x14ac:dyDescent="0.25">
      <c r="B79" s="24"/>
      <c r="D79" s="21"/>
      <c r="E79" s="21"/>
      <c r="G79" s="21"/>
      <c r="I79" s="21"/>
    </row>
    <row r="80" spans="1:35" x14ac:dyDescent="0.25">
      <c r="B80" s="24"/>
      <c r="D80" s="21"/>
      <c r="E80" s="21"/>
      <c r="G80" s="21"/>
      <c r="I80" s="21"/>
    </row>
    <row r="81" spans="2:9" x14ac:dyDescent="0.25">
      <c r="B81" s="24"/>
      <c r="D81" s="21"/>
      <c r="E81" s="21"/>
      <c r="G81" s="21"/>
      <c r="I81" s="21"/>
    </row>
    <row r="82" spans="2:9" x14ac:dyDescent="0.25">
      <c r="B82" s="24"/>
      <c r="D82" s="21"/>
      <c r="E82" s="21"/>
      <c r="G82" s="21"/>
      <c r="I82" s="21"/>
    </row>
    <row r="83" spans="2:9" x14ac:dyDescent="0.25">
      <c r="B83" s="24"/>
      <c r="D83" s="21"/>
      <c r="E83" s="21"/>
      <c r="G83" s="21"/>
      <c r="I83" s="21"/>
    </row>
    <row r="84" spans="2:9" x14ac:dyDescent="0.25">
      <c r="B84" s="24"/>
      <c r="D84" s="21"/>
      <c r="E84" s="21"/>
      <c r="G84" s="21"/>
      <c r="I84" s="21"/>
    </row>
    <row r="85" spans="2:9" x14ac:dyDescent="0.25">
      <c r="B85" s="24"/>
      <c r="D85" s="21"/>
      <c r="E85" s="21"/>
      <c r="G85" s="21"/>
      <c r="I85" s="21"/>
    </row>
    <row r="86" spans="2:9" x14ac:dyDescent="0.25">
      <c r="B86" s="24"/>
      <c r="D86" s="21"/>
      <c r="E86" s="21"/>
      <c r="G86" s="21"/>
      <c r="I86" s="21"/>
    </row>
    <row r="87" spans="2:9" x14ac:dyDescent="0.25">
      <c r="B87" s="24"/>
      <c r="D87" s="21"/>
      <c r="E87" s="21"/>
      <c r="G87" s="21"/>
      <c r="I87" s="21"/>
    </row>
    <row r="88" spans="2:9" x14ac:dyDescent="0.25">
      <c r="B88" s="24"/>
      <c r="D88" s="21"/>
      <c r="E88" s="21"/>
      <c r="G88" s="21"/>
      <c r="I88" s="21"/>
    </row>
    <row r="89" spans="2:9" x14ac:dyDescent="0.25">
      <c r="B89" s="24"/>
      <c r="D89" s="21"/>
      <c r="E89" s="21"/>
      <c r="G89" s="21"/>
      <c r="I89" s="21"/>
    </row>
    <row r="90" spans="2:9" x14ac:dyDescent="0.25">
      <c r="B90" s="24"/>
      <c r="D90" s="21"/>
      <c r="E90" s="21"/>
      <c r="G90" s="21"/>
      <c r="I90" s="21"/>
    </row>
    <row r="91" spans="2:9" x14ac:dyDescent="0.25">
      <c r="B91" s="24"/>
      <c r="D91" s="21"/>
      <c r="E91" s="21"/>
      <c r="G91" s="21"/>
      <c r="I91" s="21"/>
    </row>
    <row r="92" spans="2:9" x14ac:dyDescent="0.25">
      <c r="B92" s="24"/>
      <c r="D92" s="21"/>
      <c r="E92" s="21"/>
      <c r="G92" s="21"/>
      <c r="I92" s="21"/>
    </row>
    <row r="93" spans="2:9" x14ac:dyDescent="0.25">
      <c r="B93" s="24"/>
      <c r="D93" s="21"/>
      <c r="E93" s="21"/>
      <c r="G93" s="21"/>
      <c r="I93" s="21"/>
    </row>
    <row r="94" spans="2:9" x14ac:dyDescent="0.25">
      <c r="B94" s="24"/>
      <c r="D94" s="21"/>
      <c r="E94" s="21"/>
      <c r="G94" s="21"/>
      <c r="I94" s="21"/>
    </row>
    <row r="95" spans="2:9" x14ac:dyDescent="0.25">
      <c r="B95" s="24"/>
      <c r="D95" s="21"/>
      <c r="E95" s="21"/>
      <c r="G95" s="21"/>
      <c r="I95" s="21"/>
    </row>
    <row r="96" spans="2:9" x14ac:dyDescent="0.25">
      <c r="B96" s="24"/>
      <c r="D96" s="21"/>
      <c r="E96" s="21"/>
      <c r="G96" s="21"/>
      <c r="I96" s="21"/>
    </row>
    <row r="97" spans="2:9" x14ac:dyDescent="0.25">
      <c r="B97" s="24"/>
      <c r="D97" s="21"/>
      <c r="E97" s="21"/>
      <c r="G97" s="21"/>
      <c r="I97" s="21"/>
    </row>
    <row r="98" spans="2:9" x14ac:dyDescent="0.25">
      <c r="B98" s="24"/>
      <c r="D98" s="21"/>
      <c r="E98" s="21"/>
      <c r="G98" s="21"/>
      <c r="I98" s="21"/>
    </row>
    <row r="99" spans="2:9" x14ac:dyDescent="0.25">
      <c r="B99" s="24"/>
      <c r="D99" s="21"/>
      <c r="E99" s="21"/>
      <c r="G99" s="21"/>
      <c r="I99" s="21"/>
    </row>
    <row r="100" spans="2:9" x14ac:dyDescent="0.25">
      <c r="B100" s="24"/>
      <c r="D100" s="21"/>
      <c r="E100" s="21"/>
      <c r="G100" s="21"/>
      <c r="I100" s="21"/>
    </row>
    <row r="101" spans="2:9" x14ac:dyDescent="0.25">
      <c r="B101" s="24"/>
      <c r="D101" s="21"/>
      <c r="E101" s="21"/>
      <c r="G101" s="21"/>
      <c r="I101" s="21"/>
    </row>
    <row r="102" spans="2:9" x14ac:dyDescent="0.25">
      <c r="B102" s="24"/>
      <c r="D102" s="21"/>
      <c r="E102" s="21"/>
      <c r="G102" s="21"/>
      <c r="I102" s="21"/>
    </row>
    <row r="103" spans="2:9" x14ac:dyDescent="0.25">
      <c r="B103" s="24"/>
      <c r="D103" s="21"/>
      <c r="E103" s="21"/>
      <c r="G103" s="21"/>
      <c r="I103" s="21"/>
    </row>
    <row r="104" spans="2:9" x14ac:dyDescent="0.25">
      <c r="B104" s="24"/>
      <c r="D104" s="21"/>
      <c r="E104" s="21"/>
      <c r="G104" s="21"/>
      <c r="I104" s="21"/>
    </row>
    <row r="105" spans="2:9" x14ac:dyDescent="0.25">
      <c r="B105" s="24"/>
      <c r="D105" s="21"/>
      <c r="E105" s="21"/>
      <c r="G105" s="21"/>
      <c r="I105" s="21"/>
    </row>
    <row r="106" spans="2:9" x14ac:dyDescent="0.25">
      <c r="B106" s="24"/>
      <c r="D106" s="21"/>
      <c r="E106" s="21"/>
      <c r="G106" s="21"/>
      <c r="I106" s="21"/>
    </row>
    <row r="107" spans="2:9" x14ac:dyDescent="0.25">
      <c r="B107" s="24"/>
      <c r="D107" s="21"/>
      <c r="E107" s="21"/>
      <c r="G107" s="21"/>
      <c r="I107" s="21"/>
    </row>
    <row r="108" spans="2:9" x14ac:dyDescent="0.25">
      <c r="B108" s="24"/>
      <c r="D108" s="21"/>
      <c r="E108" s="21"/>
      <c r="G108" s="21"/>
      <c r="I108" s="21"/>
    </row>
    <row r="109" spans="2:9" x14ac:dyDescent="0.25">
      <c r="B109" s="24"/>
      <c r="D109" s="21"/>
      <c r="E109" s="21"/>
      <c r="G109" s="21"/>
      <c r="I109" s="21"/>
    </row>
    <row r="110" spans="2:9" x14ac:dyDescent="0.25">
      <c r="B110" s="24"/>
      <c r="D110" s="21"/>
      <c r="E110" s="21"/>
      <c r="G110" s="21"/>
      <c r="I110" s="21"/>
    </row>
    <row r="111" spans="2:9" x14ac:dyDescent="0.25">
      <c r="B111" s="24"/>
      <c r="D111" s="21"/>
      <c r="E111" s="21"/>
      <c r="G111" s="21"/>
      <c r="I111" s="21"/>
    </row>
    <row r="112" spans="2:9" x14ac:dyDescent="0.25">
      <c r="B112" s="24"/>
      <c r="D112" s="21"/>
      <c r="E112" s="21"/>
      <c r="G112" s="21"/>
      <c r="I112" s="21"/>
    </row>
    <row r="113" spans="2:9" x14ac:dyDescent="0.25">
      <c r="B113" s="24"/>
      <c r="D113" s="21"/>
      <c r="E113" s="21"/>
      <c r="G113" s="21"/>
      <c r="I113" s="21"/>
    </row>
    <row r="114" spans="2:9" x14ac:dyDescent="0.25">
      <c r="B114" s="24"/>
      <c r="D114" s="21"/>
      <c r="E114" s="21"/>
      <c r="G114" s="21"/>
      <c r="I114" s="21"/>
    </row>
    <row r="115" spans="2:9" x14ac:dyDescent="0.25">
      <c r="B115" s="24"/>
      <c r="D115" s="21"/>
      <c r="E115" s="21"/>
      <c r="G115" s="21"/>
      <c r="I115" s="21"/>
    </row>
    <row r="116" spans="2:9" x14ac:dyDescent="0.25">
      <c r="B116" s="24"/>
      <c r="D116" s="21"/>
      <c r="E116" s="21"/>
      <c r="G116" s="21"/>
      <c r="I116" s="21"/>
    </row>
    <row r="117" spans="2:9" x14ac:dyDescent="0.25">
      <c r="B117" s="24"/>
      <c r="D117" s="21"/>
      <c r="E117" s="21"/>
      <c r="G117" s="21"/>
      <c r="I117" s="21"/>
    </row>
    <row r="118" spans="2:9" x14ac:dyDescent="0.25">
      <c r="B118" s="24"/>
      <c r="D118" s="21"/>
      <c r="E118" s="21"/>
      <c r="G118" s="21"/>
      <c r="I118" s="21"/>
    </row>
    <row r="119" spans="2:9" x14ac:dyDescent="0.25">
      <c r="B119" s="24"/>
      <c r="D119" s="21"/>
      <c r="E119" s="21"/>
      <c r="G119" s="21"/>
      <c r="I119" s="21"/>
    </row>
    <row r="120" spans="2:9" x14ac:dyDescent="0.25">
      <c r="B120" s="24"/>
      <c r="D120" s="21"/>
      <c r="E120" s="21"/>
      <c r="G120" s="21"/>
      <c r="I120" s="21"/>
    </row>
    <row r="121" spans="2:9" x14ac:dyDescent="0.25">
      <c r="B121" s="24"/>
      <c r="D121" s="21"/>
      <c r="E121" s="21"/>
      <c r="G121" s="21"/>
      <c r="I121" s="21"/>
    </row>
    <row r="122" spans="2:9" x14ac:dyDescent="0.25">
      <c r="B122" s="24"/>
      <c r="D122" s="21"/>
      <c r="E122" s="21"/>
      <c r="G122" s="21"/>
      <c r="I122" s="21"/>
    </row>
    <row r="123" spans="2:9" x14ac:dyDescent="0.25">
      <c r="B123" s="24"/>
      <c r="D123" s="21"/>
      <c r="E123" s="21"/>
      <c r="G123" s="21"/>
      <c r="I123" s="21"/>
    </row>
    <row r="124" spans="2:9" x14ac:dyDescent="0.25">
      <c r="B124" s="24"/>
      <c r="D124" s="21"/>
      <c r="E124" s="21"/>
      <c r="G124" s="21"/>
      <c r="I124" s="21"/>
    </row>
    <row r="125" spans="2:9" x14ac:dyDescent="0.25">
      <c r="B125" s="24"/>
      <c r="D125" s="21"/>
      <c r="E125" s="21"/>
      <c r="G125" s="21"/>
      <c r="I125" s="21"/>
    </row>
    <row r="126" spans="2:9" x14ac:dyDescent="0.25">
      <c r="B126" s="24"/>
      <c r="D126" s="21"/>
      <c r="E126" s="21"/>
      <c r="G126" s="21"/>
      <c r="I126" s="21"/>
    </row>
    <row r="127" spans="2:9" x14ac:dyDescent="0.25">
      <c r="B127" s="24"/>
      <c r="D127" s="21"/>
      <c r="E127" s="21"/>
      <c r="G127" s="21"/>
      <c r="I127" s="21"/>
    </row>
    <row r="128" spans="2:9" x14ac:dyDescent="0.25">
      <c r="B128" s="24"/>
      <c r="D128" s="21"/>
      <c r="E128" s="21"/>
      <c r="G128" s="21"/>
      <c r="I128" s="21"/>
    </row>
    <row r="129" spans="2:9" x14ac:dyDescent="0.25">
      <c r="B129" s="24"/>
      <c r="D129" s="21"/>
      <c r="E129" s="21"/>
      <c r="G129" s="21"/>
      <c r="I129" s="21"/>
    </row>
    <row r="130" spans="2:9" x14ac:dyDescent="0.25">
      <c r="B130" s="24"/>
      <c r="D130" s="21"/>
      <c r="E130" s="21"/>
      <c r="G130" s="21"/>
      <c r="I130" s="21"/>
    </row>
    <row r="131" spans="2:9" x14ac:dyDescent="0.25">
      <c r="B131" s="24"/>
      <c r="D131" s="21"/>
      <c r="E131" s="21"/>
      <c r="G131" s="21"/>
      <c r="I131" s="21"/>
    </row>
    <row r="132" spans="2:9" x14ac:dyDescent="0.25">
      <c r="B132" s="24"/>
      <c r="D132" s="21"/>
      <c r="E132" s="21"/>
      <c r="G132" s="21"/>
      <c r="I132" s="21"/>
    </row>
    <row r="133" spans="2:9" x14ac:dyDescent="0.25">
      <c r="B133" s="24"/>
      <c r="D133" s="21"/>
      <c r="E133" s="21"/>
      <c r="G133" s="21"/>
      <c r="I133" s="21"/>
    </row>
    <row r="134" spans="2:9" x14ac:dyDescent="0.25">
      <c r="B134" s="24"/>
      <c r="D134" s="21"/>
      <c r="E134" s="21"/>
      <c r="G134" s="21"/>
      <c r="I134" s="21"/>
    </row>
    <row r="135" spans="2:9" x14ac:dyDescent="0.25">
      <c r="B135" s="24"/>
      <c r="D135" s="21"/>
      <c r="E135" s="21"/>
      <c r="G135" s="21"/>
      <c r="I135" s="21"/>
    </row>
    <row r="136" spans="2:9" x14ac:dyDescent="0.25">
      <c r="B136" s="24"/>
      <c r="D136" s="21"/>
      <c r="E136" s="21"/>
      <c r="G136" s="21"/>
      <c r="I136" s="21"/>
    </row>
    <row r="137" spans="2:9" x14ac:dyDescent="0.25">
      <c r="B137" s="24"/>
      <c r="D137" s="21"/>
      <c r="E137" s="21"/>
      <c r="G137" s="21"/>
      <c r="I137" s="21"/>
    </row>
    <row r="138" spans="2:9" x14ac:dyDescent="0.25">
      <c r="B138" s="24"/>
      <c r="D138" s="21"/>
      <c r="E138" s="21"/>
      <c r="G138" s="21"/>
      <c r="I138" s="21"/>
    </row>
    <row r="139" spans="2:9" x14ac:dyDescent="0.25">
      <c r="B139" s="24"/>
      <c r="D139" s="21"/>
      <c r="E139" s="21"/>
      <c r="G139" s="21"/>
      <c r="I139" s="21"/>
    </row>
    <row r="140" spans="2:9" x14ac:dyDescent="0.25">
      <c r="B140" s="24"/>
      <c r="D140" s="21"/>
      <c r="E140" s="21"/>
      <c r="G140" s="21"/>
      <c r="I140" s="21"/>
    </row>
    <row r="141" spans="2:9" x14ac:dyDescent="0.25">
      <c r="B141" s="24"/>
      <c r="D141" s="21"/>
      <c r="E141" s="21"/>
      <c r="G141" s="21"/>
      <c r="I141" s="21"/>
    </row>
    <row r="142" spans="2:9" x14ac:dyDescent="0.25">
      <c r="B142" s="24"/>
      <c r="D142" s="21"/>
      <c r="E142" s="21"/>
      <c r="G142" s="21"/>
      <c r="I142" s="21"/>
    </row>
    <row r="143" spans="2:9" x14ac:dyDescent="0.25">
      <c r="B143" s="24"/>
      <c r="D143" s="21"/>
      <c r="E143" s="21"/>
      <c r="G143" s="21"/>
      <c r="I143" s="21"/>
    </row>
    <row r="144" spans="2:9" x14ac:dyDescent="0.25">
      <c r="B144" s="24"/>
      <c r="D144" s="21"/>
      <c r="E144" s="21"/>
      <c r="G144" s="21"/>
      <c r="I144" s="21"/>
    </row>
    <row r="145" spans="2:9" x14ac:dyDescent="0.25">
      <c r="B145" s="24"/>
      <c r="D145" s="21"/>
      <c r="E145" s="21"/>
      <c r="G145" s="21"/>
      <c r="I145" s="21"/>
    </row>
    <row r="146" spans="2:9" x14ac:dyDescent="0.25">
      <c r="B146" s="24"/>
      <c r="D146" s="21"/>
      <c r="E146" s="21"/>
      <c r="G146" s="21"/>
      <c r="I146" s="21"/>
    </row>
    <row r="147" spans="2:9" x14ac:dyDescent="0.25">
      <c r="B147" s="24"/>
      <c r="D147" s="21"/>
      <c r="E147" s="21"/>
      <c r="G147" s="21"/>
      <c r="I147" s="21"/>
    </row>
    <row r="148" spans="2:9" x14ac:dyDescent="0.25">
      <c r="B148" s="24"/>
      <c r="D148" s="21"/>
      <c r="E148" s="21"/>
      <c r="G148" s="21"/>
      <c r="I148" s="21"/>
    </row>
    <row r="149" spans="2:9" x14ac:dyDescent="0.25">
      <c r="B149" s="24"/>
      <c r="D149" s="21"/>
      <c r="E149" s="21"/>
      <c r="G149" s="21"/>
      <c r="I149" s="21"/>
    </row>
    <row r="150" spans="2:9" x14ac:dyDescent="0.25">
      <c r="B150" s="24"/>
      <c r="D150" s="21"/>
      <c r="E150" s="21"/>
      <c r="G150" s="21"/>
      <c r="I150" s="21"/>
    </row>
    <row r="151" spans="2:9" x14ac:dyDescent="0.25">
      <c r="B151" s="24"/>
      <c r="D151" s="21"/>
      <c r="E151" s="21"/>
      <c r="G151" s="21"/>
      <c r="I151" s="21"/>
    </row>
    <row r="152" spans="2:9" x14ac:dyDescent="0.25">
      <c r="B152" s="24"/>
      <c r="D152" s="21"/>
      <c r="E152" s="21"/>
      <c r="G152" s="21"/>
      <c r="I152" s="21"/>
    </row>
    <row r="153" spans="2:9" x14ac:dyDescent="0.25">
      <c r="B153" s="24"/>
      <c r="D153" s="21"/>
      <c r="E153" s="21"/>
      <c r="G153" s="21"/>
      <c r="I153" s="21"/>
    </row>
    <row r="154" spans="2:9" x14ac:dyDescent="0.25">
      <c r="B154" s="24"/>
      <c r="D154" s="21"/>
      <c r="E154" s="21"/>
      <c r="G154" s="21"/>
      <c r="I154" s="21"/>
    </row>
    <row r="155" spans="2:9" x14ac:dyDescent="0.25">
      <c r="B155" s="24"/>
      <c r="D155" s="21"/>
      <c r="E155" s="21"/>
      <c r="G155" s="21"/>
      <c r="I155" s="21"/>
    </row>
    <row r="156" spans="2:9" x14ac:dyDescent="0.25">
      <c r="B156" s="24"/>
      <c r="D156" s="21"/>
      <c r="E156" s="21"/>
      <c r="G156" s="21"/>
      <c r="I156" s="21"/>
    </row>
    <row r="157" spans="2:9" x14ac:dyDescent="0.25">
      <c r="B157" s="24"/>
      <c r="D157" s="21"/>
      <c r="E157" s="21"/>
      <c r="G157" s="21"/>
      <c r="I157" s="21"/>
    </row>
    <row r="158" spans="2:9" x14ac:dyDescent="0.25">
      <c r="B158" s="24"/>
      <c r="D158" s="21"/>
      <c r="E158" s="21"/>
      <c r="G158" s="21"/>
      <c r="I158" s="21"/>
    </row>
    <row r="159" spans="2:9" x14ac:dyDescent="0.25">
      <c r="B159" s="24"/>
      <c r="D159" s="21"/>
      <c r="E159" s="21"/>
      <c r="G159" s="21"/>
      <c r="I159" s="21"/>
    </row>
    <row r="160" spans="2:9" x14ac:dyDescent="0.25">
      <c r="B160" s="24"/>
      <c r="D160" s="21"/>
      <c r="E160" s="21"/>
      <c r="G160" s="21"/>
      <c r="I160" s="21"/>
    </row>
    <row r="161" spans="2:9" x14ac:dyDescent="0.25">
      <c r="B161" s="24"/>
      <c r="D161" s="21"/>
      <c r="E161" s="21"/>
      <c r="G161" s="21"/>
      <c r="I161" s="21"/>
    </row>
    <row r="162" spans="2:9" x14ac:dyDescent="0.25">
      <c r="B162" s="24"/>
      <c r="D162" s="21"/>
      <c r="E162" s="21"/>
      <c r="G162" s="21"/>
      <c r="I162" s="21"/>
    </row>
    <row r="163" spans="2:9" x14ac:dyDescent="0.25">
      <c r="B163" s="24"/>
      <c r="D163" s="21"/>
      <c r="E163" s="21"/>
      <c r="G163" s="21"/>
      <c r="I163" s="21"/>
    </row>
    <row r="164" spans="2:9" x14ac:dyDescent="0.25">
      <c r="B164" s="24"/>
      <c r="D164" s="21"/>
      <c r="E164" s="21"/>
      <c r="G164" s="21"/>
      <c r="I164" s="21"/>
    </row>
    <row r="165" spans="2:9" x14ac:dyDescent="0.25">
      <c r="B165" s="24"/>
      <c r="D165" s="21"/>
      <c r="E165" s="21"/>
      <c r="G165" s="21"/>
      <c r="I165" s="21"/>
    </row>
    <row r="166" spans="2:9" x14ac:dyDescent="0.25">
      <c r="B166" s="24"/>
      <c r="D166" s="21"/>
      <c r="E166" s="21"/>
      <c r="G166" s="21"/>
      <c r="I166" s="21"/>
    </row>
    <row r="167" spans="2:9" x14ac:dyDescent="0.25">
      <c r="B167" s="24"/>
      <c r="D167" s="21"/>
      <c r="E167" s="21"/>
      <c r="G167" s="21"/>
      <c r="I167" s="21"/>
    </row>
    <row r="168" spans="2:9" x14ac:dyDescent="0.25">
      <c r="B168" s="24"/>
      <c r="D168" s="21"/>
      <c r="E168" s="21"/>
      <c r="G168" s="21"/>
      <c r="I168" s="21"/>
    </row>
    <row r="169" spans="2:9" x14ac:dyDescent="0.25">
      <c r="B169" s="24"/>
      <c r="D169" s="21"/>
      <c r="E169" s="21"/>
      <c r="G169" s="21"/>
      <c r="I169" s="21"/>
    </row>
    <row r="170" spans="2:9" x14ac:dyDescent="0.25">
      <c r="B170" s="24"/>
      <c r="D170" s="21"/>
      <c r="E170" s="21"/>
      <c r="G170" s="21"/>
      <c r="I170" s="21"/>
    </row>
    <row r="171" spans="2:9" x14ac:dyDescent="0.25">
      <c r="B171" s="24"/>
      <c r="D171" s="21"/>
      <c r="E171" s="21"/>
      <c r="G171" s="21"/>
      <c r="I171" s="21"/>
    </row>
    <row r="172" spans="2:9" x14ac:dyDescent="0.25">
      <c r="B172" s="24"/>
      <c r="D172" s="21"/>
      <c r="E172" s="21"/>
      <c r="G172" s="21"/>
      <c r="I172" s="21"/>
    </row>
    <row r="173" spans="2:9" x14ac:dyDescent="0.25">
      <c r="B173" s="24"/>
      <c r="D173" s="21"/>
      <c r="E173" s="21"/>
      <c r="G173" s="21"/>
      <c r="I173" s="21"/>
    </row>
    <row r="174" spans="2:9" x14ac:dyDescent="0.25">
      <c r="B174" s="24"/>
      <c r="D174" s="21"/>
      <c r="E174" s="21"/>
      <c r="G174" s="21"/>
      <c r="I174" s="21"/>
    </row>
    <row r="175" spans="2:9" x14ac:dyDescent="0.25">
      <c r="B175" s="24"/>
      <c r="D175" s="21"/>
      <c r="E175" s="21"/>
      <c r="G175" s="21"/>
      <c r="I175" s="21"/>
    </row>
    <row r="176" spans="2:9" x14ac:dyDescent="0.25">
      <c r="B176" s="24"/>
      <c r="D176" s="21"/>
      <c r="E176" s="21"/>
      <c r="G176" s="21"/>
      <c r="I176" s="21"/>
    </row>
    <row r="177" spans="2:9" x14ac:dyDescent="0.25">
      <c r="B177" s="24"/>
      <c r="D177" s="21"/>
      <c r="E177" s="21"/>
      <c r="G177" s="21"/>
      <c r="I177" s="21"/>
    </row>
    <row r="178" spans="2:9" x14ac:dyDescent="0.25">
      <c r="B178" s="24"/>
      <c r="D178" s="21"/>
      <c r="E178" s="21"/>
      <c r="G178" s="21"/>
      <c r="I178" s="21"/>
    </row>
    <row r="179" spans="2:9" x14ac:dyDescent="0.25">
      <c r="B179" s="24"/>
      <c r="D179" s="21"/>
      <c r="E179" s="21"/>
      <c r="G179" s="21"/>
      <c r="I179" s="21"/>
    </row>
    <row r="180" spans="2:9" x14ac:dyDescent="0.25">
      <c r="B180" s="24"/>
      <c r="D180" s="21"/>
      <c r="E180" s="21"/>
      <c r="G180" s="21"/>
      <c r="I180" s="21"/>
    </row>
    <row r="181" spans="2:9" x14ac:dyDescent="0.25">
      <c r="B181" s="24"/>
      <c r="D181" s="21"/>
      <c r="E181" s="21"/>
      <c r="G181" s="21"/>
      <c r="I181" s="21"/>
    </row>
    <row r="182" spans="2:9" x14ac:dyDescent="0.25">
      <c r="B182" s="24"/>
      <c r="D182" s="21"/>
      <c r="E182" s="21"/>
      <c r="G182" s="21"/>
      <c r="I182" s="21"/>
    </row>
    <row r="183" spans="2:9" x14ac:dyDescent="0.25">
      <c r="B183" s="24"/>
      <c r="D183" s="21"/>
      <c r="E183" s="21"/>
      <c r="G183" s="21"/>
      <c r="I183" s="21"/>
    </row>
    <row r="184" spans="2:9" x14ac:dyDescent="0.25">
      <c r="B184" s="24"/>
      <c r="D184" s="21"/>
      <c r="E184" s="21"/>
      <c r="G184" s="21"/>
      <c r="I184" s="21"/>
    </row>
    <row r="185" spans="2:9" x14ac:dyDescent="0.25">
      <c r="B185" s="24"/>
      <c r="D185" s="21"/>
      <c r="E185" s="21"/>
      <c r="G185" s="21"/>
      <c r="I185" s="21"/>
    </row>
    <row r="186" spans="2:9" x14ac:dyDescent="0.25">
      <c r="B186" s="24"/>
      <c r="D186" s="21"/>
      <c r="E186" s="21"/>
      <c r="G186" s="21"/>
      <c r="I186" s="21"/>
    </row>
    <row r="187" spans="2:9" x14ac:dyDescent="0.25">
      <c r="B187" s="24"/>
      <c r="D187" s="21"/>
      <c r="E187" s="21"/>
      <c r="G187" s="21"/>
      <c r="I187" s="21"/>
    </row>
    <row r="188" spans="2:9" x14ac:dyDescent="0.25">
      <c r="B188" s="24"/>
      <c r="D188" s="21"/>
      <c r="E188" s="21"/>
      <c r="G188" s="21"/>
      <c r="I188" s="21"/>
    </row>
    <row r="189" spans="2:9" x14ac:dyDescent="0.25">
      <c r="B189" s="24"/>
      <c r="D189" s="21"/>
      <c r="E189" s="21"/>
      <c r="G189" s="21"/>
      <c r="I189" s="21"/>
    </row>
    <row r="190" spans="2:9" x14ac:dyDescent="0.25">
      <c r="B190" s="24"/>
      <c r="D190" s="21"/>
      <c r="E190" s="21"/>
      <c r="G190" s="21"/>
      <c r="I190" s="21"/>
    </row>
    <row r="191" spans="2:9" x14ac:dyDescent="0.25">
      <c r="B191" s="24"/>
      <c r="D191" s="21"/>
      <c r="E191" s="21"/>
      <c r="G191" s="21"/>
      <c r="I191" s="21"/>
    </row>
    <row r="192" spans="2:9" x14ac:dyDescent="0.25">
      <c r="B192" s="24"/>
      <c r="D192" s="21"/>
      <c r="E192" s="21"/>
      <c r="G192" s="21"/>
      <c r="I192" s="21"/>
    </row>
    <row r="193" spans="2:9" x14ac:dyDescent="0.25">
      <c r="B193" s="24"/>
      <c r="D193" s="21"/>
      <c r="E193" s="21"/>
      <c r="G193" s="21"/>
      <c r="I193" s="21"/>
    </row>
    <row r="194" spans="2:9" x14ac:dyDescent="0.25">
      <c r="B194" s="24"/>
      <c r="D194" s="21"/>
      <c r="E194" s="21"/>
      <c r="G194" s="21"/>
      <c r="I194" s="21"/>
    </row>
    <row r="195" spans="2:9" x14ac:dyDescent="0.25">
      <c r="B195" s="24"/>
      <c r="D195" s="21"/>
      <c r="E195" s="21"/>
      <c r="G195" s="21"/>
      <c r="I195" s="21"/>
    </row>
    <row r="196" spans="2:9" x14ac:dyDescent="0.25">
      <c r="B196" s="24"/>
      <c r="D196" s="21"/>
      <c r="E196" s="21"/>
      <c r="G196" s="21"/>
      <c r="I196" s="21"/>
    </row>
    <row r="197" spans="2:9" x14ac:dyDescent="0.25">
      <c r="B197" s="24"/>
      <c r="D197" s="21"/>
      <c r="E197" s="21"/>
      <c r="G197" s="21"/>
      <c r="I197" s="21"/>
    </row>
    <row r="198" spans="2:9" x14ac:dyDescent="0.25">
      <c r="B198" s="24"/>
      <c r="D198" s="21"/>
      <c r="E198" s="21"/>
      <c r="G198" s="21"/>
      <c r="I198" s="21"/>
    </row>
    <row r="199" spans="2:9" x14ac:dyDescent="0.25">
      <c r="B199" s="24"/>
      <c r="D199" s="21"/>
      <c r="E199" s="21"/>
      <c r="G199" s="21"/>
      <c r="I199" s="21"/>
    </row>
    <row r="200" spans="2:9" x14ac:dyDescent="0.25">
      <c r="B200" s="24"/>
      <c r="D200" s="21"/>
      <c r="E200" s="21"/>
      <c r="G200" s="21"/>
      <c r="I200" s="21"/>
    </row>
    <row r="201" spans="2:9" x14ac:dyDescent="0.25">
      <c r="B201" s="24"/>
      <c r="D201" s="21"/>
      <c r="E201" s="21"/>
      <c r="G201" s="21"/>
      <c r="I201" s="21"/>
    </row>
    <row r="202" spans="2:9" x14ac:dyDescent="0.25">
      <c r="B202" s="24"/>
      <c r="D202" s="21"/>
      <c r="E202" s="21"/>
      <c r="G202" s="21"/>
      <c r="I202" s="21"/>
    </row>
    <row r="203" spans="2:9" x14ac:dyDescent="0.25">
      <c r="B203" s="24"/>
      <c r="D203" s="21"/>
      <c r="E203" s="21"/>
      <c r="G203" s="21"/>
      <c r="I203" s="21"/>
    </row>
    <row r="204" spans="2:9" x14ac:dyDescent="0.25">
      <c r="B204" s="24"/>
      <c r="D204" s="21"/>
      <c r="E204" s="21"/>
      <c r="G204" s="21"/>
      <c r="I204" s="21"/>
    </row>
    <row r="205" spans="2:9" x14ac:dyDescent="0.25">
      <c r="B205" s="24"/>
      <c r="D205" s="21"/>
      <c r="E205" s="21"/>
      <c r="G205" s="21"/>
      <c r="I205" s="21"/>
    </row>
    <row r="206" spans="2:9" x14ac:dyDescent="0.25">
      <c r="B206" s="24"/>
      <c r="D206" s="21"/>
      <c r="E206" s="21"/>
      <c r="G206" s="21"/>
      <c r="I206" s="21"/>
    </row>
    <row r="207" spans="2:9" x14ac:dyDescent="0.25">
      <c r="B207" s="24"/>
      <c r="D207" s="21"/>
      <c r="E207" s="21"/>
      <c r="G207" s="21"/>
      <c r="I207" s="21"/>
    </row>
    <row r="208" spans="2:9" x14ac:dyDescent="0.25">
      <c r="B208" s="24"/>
      <c r="D208" s="21"/>
      <c r="E208" s="21"/>
      <c r="G208" s="21"/>
      <c r="I208" s="21"/>
    </row>
    <row r="209" spans="2:9" x14ac:dyDescent="0.25">
      <c r="B209" s="24"/>
      <c r="D209" s="21"/>
      <c r="E209" s="21"/>
      <c r="G209" s="21"/>
      <c r="I209" s="21"/>
    </row>
    <row r="210" spans="2:9" x14ac:dyDescent="0.25">
      <c r="B210" s="24"/>
      <c r="D210" s="21"/>
      <c r="E210" s="21"/>
      <c r="G210" s="21"/>
      <c r="I210" s="21"/>
    </row>
    <row r="211" spans="2:9" x14ac:dyDescent="0.25">
      <c r="B211" s="24"/>
      <c r="D211" s="21"/>
      <c r="E211" s="21"/>
      <c r="G211" s="21"/>
      <c r="I211" s="21"/>
    </row>
    <row r="212" spans="2:9" x14ac:dyDescent="0.25">
      <c r="B212" s="24"/>
      <c r="D212" s="21"/>
      <c r="E212" s="21"/>
      <c r="G212" s="21"/>
      <c r="I212" s="21"/>
    </row>
    <row r="213" spans="2:9" x14ac:dyDescent="0.25">
      <c r="B213" s="24"/>
      <c r="D213" s="21"/>
      <c r="E213" s="21"/>
      <c r="G213" s="21"/>
      <c r="I213" s="21"/>
    </row>
    <row r="214" spans="2:9" x14ac:dyDescent="0.25">
      <c r="B214" s="24"/>
      <c r="D214" s="21"/>
      <c r="E214" s="21"/>
      <c r="G214" s="21"/>
      <c r="I214" s="21"/>
    </row>
    <row r="215" spans="2:9" x14ac:dyDescent="0.25">
      <c r="B215" s="24"/>
      <c r="D215" s="21"/>
      <c r="E215" s="21"/>
      <c r="G215" s="21"/>
      <c r="I215" s="21"/>
    </row>
    <row r="216" spans="2:9" x14ac:dyDescent="0.25">
      <c r="B216" s="24"/>
      <c r="D216" s="21"/>
      <c r="E216" s="21"/>
      <c r="G216" s="21"/>
      <c r="I216" s="21"/>
    </row>
    <row r="217" spans="2:9" x14ac:dyDescent="0.25">
      <c r="B217" s="24"/>
      <c r="D217" s="21"/>
      <c r="E217" s="21"/>
      <c r="G217" s="21"/>
      <c r="I217" s="21"/>
    </row>
    <row r="218" spans="2:9" x14ac:dyDescent="0.25">
      <c r="B218" s="24"/>
      <c r="D218" s="21"/>
      <c r="E218" s="21"/>
      <c r="G218" s="21"/>
      <c r="I218" s="21"/>
    </row>
    <row r="219" spans="2:9" x14ac:dyDescent="0.25">
      <c r="B219" s="24"/>
      <c r="D219" s="21"/>
      <c r="E219" s="21"/>
      <c r="G219" s="21"/>
      <c r="I219" s="21"/>
    </row>
    <row r="220" spans="2:9" x14ac:dyDescent="0.25">
      <c r="B220" s="24"/>
      <c r="D220" s="21"/>
      <c r="E220" s="21"/>
      <c r="G220" s="21"/>
      <c r="I220" s="21"/>
    </row>
    <row r="221" spans="2:9" x14ac:dyDescent="0.25">
      <c r="B221" s="24"/>
      <c r="D221" s="21"/>
      <c r="E221" s="21"/>
      <c r="G221" s="21"/>
      <c r="I221" s="21"/>
    </row>
    <row r="222" spans="2:9" x14ac:dyDescent="0.25">
      <c r="B222" s="24"/>
      <c r="D222" s="21"/>
      <c r="E222" s="21"/>
      <c r="G222" s="21"/>
      <c r="I222" s="21"/>
    </row>
    <row r="223" spans="2:9" x14ac:dyDescent="0.25">
      <c r="B223" s="24"/>
      <c r="D223" s="21"/>
      <c r="E223" s="21"/>
      <c r="G223" s="21"/>
      <c r="I223" s="21"/>
    </row>
    <row r="224" spans="2:9" x14ac:dyDescent="0.25">
      <c r="B224" s="24"/>
      <c r="D224" s="21"/>
      <c r="E224" s="21"/>
      <c r="G224" s="21"/>
      <c r="I224" s="21"/>
    </row>
    <row r="225" spans="2:9" x14ac:dyDescent="0.25">
      <c r="B225" s="24"/>
      <c r="D225" s="21"/>
      <c r="E225" s="21"/>
      <c r="G225" s="21"/>
      <c r="I225" s="21"/>
    </row>
    <row r="226" spans="2:9" x14ac:dyDescent="0.25">
      <c r="B226" s="24"/>
      <c r="D226" s="21"/>
      <c r="E226" s="21"/>
      <c r="G226" s="21"/>
      <c r="I226" s="21"/>
    </row>
    <row r="227" spans="2:9" x14ac:dyDescent="0.25">
      <c r="B227" s="24"/>
      <c r="D227" s="21"/>
      <c r="E227" s="21"/>
      <c r="G227" s="21"/>
      <c r="I227" s="21"/>
    </row>
    <row r="228" spans="2:9" x14ac:dyDescent="0.25">
      <c r="B228" s="24"/>
      <c r="D228" s="21"/>
      <c r="E228" s="21"/>
      <c r="G228" s="21"/>
      <c r="I228" s="21"/>
    </row>
    <row r="229" spans="2:9" x14ac:dyDescent="0.25">
      <c r="B229" s="24"/>
      <c r="D229" s="21"/>
      <c r="E229" s="21"/>
      <c r="G229" s="21"/>
      <c r="I229" s="21"/>
    </row>
    <row r="230" spans="2:9" x14ac:dyDescent="0.25">
      <c r="B230" s="24"/>
      <c r="D230" s="21"/>
      <c r="E230" s="21"/>
      <c r="G230" s="21"/>
      <c r="I230" s="21"/>
    </row>
    <row r="231" spans="2:9" x14ac:dyDescent="0.25">
      <c r="B231" s="24"/>
      <c r="D231" s="21"/>
      <c r="E231" s="21"/>
      <c r="G231" s="21"/>
      <c r="I231" s="21"/>
    </row>
    <row r="232" spans="2:9" x14ac:dyDescent="0.25">
      <c r="B232" s="24"/>
      <c r="D232" s="21"/>
      <c r="E232" s="21"/>
      <c r="G232" s="21"/>
      <c r="I232" s="21"/>
    </row>
    <row r="233" spans="2:9" x14ac:dyDescent="0.25">
      <c r="B233" s="24"/>
      <c r="D233" s="21"/>
      <c r="E233" s="21"/>
      <c r="G233" s="21"/>
      <c r="I233" s="21"/>
    </row>
    <row r="234" spans="2:9" x14ac:dyDescent="0.25">
      <c r="B234" s="24"/>
      <c r="D234" s="21"/>
      <c r="E234" s="21"/>
      <c r="G234" s="21"/>
      <c r="I234" s="21"/>
    </row>
    <row r="235" spans="2:9" x14ac:dyDescent="0.25">
      <c r="B235" s="24"/>
      <c r="D235" s="21"/>
      <c r="E235" s="21"/>
      <c r="G235" s="21"/>
      <c r="I235" s="21"/>
    </row>
    <row r="236" spans="2:9" x14ac:dyDescent="0.25">
      <c r="B236" s="24"/>
      <c r="D236" s="21"/>
      <c r="E236" s="21"/>
      <c r="G236" s="21"/>
      <c r="I236" s="21"/>
    </row>
    <row r="237" spans="2:9" x14ac:dyDescent="0.25">
      <c r="B237" s="24"/>
      <c r="D237" s="21"/>
      <c r="E237" s="21"/>
      <c r="G237" s="21"/>
      <c r="I237" s="21"/>
    </row>
    <row r="238" spans="2:9" x14ac:dyDescent="0.25">
      <c r="B238" s="24"/>
      <c r="D238" s="21"/>
      <c r="E238" s="21"/>
      <c r="G238" s="21"/>
      <c r="I238" s="21"/>
    </row>
    <row r="239" spans="2:9" x14ac:dyDescent="0.25">
      <c r="B239" s="24"/>
      <c r="D239" s="21"/>
      <c r="E239" s="21"/>
      <c r="G239" s="21"/>
      <c r="I239" s="21"/>
    </row>
    <row r="240" spans="2:9" x14ac:dyDescent="0.25">
      <c r="B240" s="24"/>
      <c r="D240" s="21"/>
      <c r="E240" s="21"/>
      <c r="G240" s="21"/>
      <c r="I240" s="21"/>
    </row>
    <row r="241" spans="2:9" x14ac:dyDescent="0.25">
      <c r="B241" s="24"/>
      <c r="D241" s="21"/>
      <c r="E241" s="21"/>
      <c r="G241" s="21"/>
      <c r="I241" s="21"/>
    </row>
    <row r="242" spans="2:9" x14ac:dyDescent="0.25">
      <c r="B242" s="24"/>
      <c r="D242" s="21"/>
      <c r="E242" s="21"/>
      <c r="G242" s="21"/>
      <c r="I242" s="21"/>
    </row>
    <row r="243" spans="2:9" x14ac:dyDescent="0.25">
      <c r="B243" s="24"/>
      <c r="D243" s="21"/>
      <c r="E243" s="21"/>
      <c r="G243" s="21"/>
      <c r="I243" s="21"/>
    </row>
    <row r="244" spans="2:9" x14ac:dyDescent="0.25">
      <c r="B244" s="24"/>
      <c r="D244" s="21"/>
      <c r="E244" s="21"/>
      <c r="G244" s="21"/>
      <c r="I244" s="21"/>
    </row>
    <row r="245" spans="2:9" x14ac:dyDescent="0.25">
      <c r="B245" s="24"/>
      <c r="D245" s="21"/>
      <c r="E245" s="21"/>
      <c r="G245" s="21"/>
      <c r="I245" s="21"/>
    </row>
    <row r="246" spans="2:9" x14ac:dyDescent="0.25">
      <c r="B246" s="24"/>
      <c r="D246" s="21"/>
      <c r="E246" s="21"/>
      <c r="G246" s="21"/>
      <c r="I246" s="21"/>
    </row>
    <row r="247" spans="2:9" x14ac:dyDescent="0.25">
      <c r="B247" s="24"/>
      <c r="D247" s="21"/>
      <c r="E247" s="21"/>
      <c r="G247" s="21"/>
      <c r="I247" s="21"/>
    </row>
    <row r="248" spans="2:9" x14ac:dyDescent="0.25">
      <c r="B248" s="24"/>
      <c r="D248" s="21"/>
      <c r="E248" s="21"/>
      <c r="G248" s="21"/>
      <c r="I248" s="21"/>
    </row>
    <row r="249" spans="2:9" x14ac:dyDescent="0.25">
      <c r="B249" s="24"/>
      <c r="D249" s="21"/>
      <c r="E249" s="21"/>
      <c r="G249" s="21"/>
      <c r="I249" s="21"/>
    </row>
    <row r="250" spans="2:9" x14ac:dyDescent="0.25">
      <c r="B250" s="24"/>
      <c r="D250" s="21"/>
      <c r="E250" s="21"/>
      <c r="G250" s="21"/>
      <c r="I250" s="21"/>
    </row>
    <row r="251" spans="2:9" x14ac:dyDescent="0.25">
      <c r="B251" s="24"/>
      <c r="D251" s="21"/>
      <c r="E251" s="21"/>
      <c r="G251" s="21"/>
      <c r="I251" s="21"/>
    </row>
    <row r="252" spans="2:9" x14ac:dyDescent="0.25">
      <c r="B252" s="24"/>
      <c r="D252" s="21"/>
      <c r="E252" s="21"/>
      <c r="G252" s="21"/>
      <c r="I252" s="21"/>
    </row>
    <row r="253" spans="2:9" x14ac:dyDescent="0.25">
      <c r="B253" s="24"/>
      <c r="D253" s="21"/>
      <c r="E253" s="21"/>
      <c r="G253" s="21"/>
      <c r="I253" s="21"/>
    </row>
    <row r="254" spans="2:9" x14ac:dyDescent="0.25">
      <c r="B254" s="24"/>
      <c r="D254" s="21"/>
      <c r="E254" s="21"/>
      <c r="G254" s="21"/>
      <c r="I254" s="21"/>
    </row>
    <row r="255" spans="2:9" x14ac:dyDescent="0.25">
      <c r="B255" s="24"/>
      <c r="D255" s="21"/>
      <c r="E255" s="21"/>
      <c r="G255" s="21"/>
      <c r="I255" s="21"/>
    </row>
    <row r="256" spans="2:9" x14ac:dyDescent="0.25">
      <c r="B256" s="24"/>
      <c r="D256" s="21"/>
      <c r="E256" s="21"/>
      <c r="G256" s="21"/>
      <c r="I256" s="21"/>
    </row>
    <row r="257" spans="2:9" x14ac:dyDescent="0.25">
      <c r="B257" s="24"/>
      <c r="D257" s="21"/>
      <c r="E257" s="21"/>
      <c r="G257" s="21"/>
      <c r="I257" s="21"/>
    </row>
    <row r="258" spans="2:9" x14ac:dyDescent="0.25">
      <c r="B258" s="24"/>
      <c r="D258" s="21"/>
      <c r="E258" s="21"/>
      <c r="G258" s="21"/>
      <c r="I258" s="21"/>
    </row>
    <row r="259" spans="2:9" x14ac:dyDescent="0.25">
      <c r="B259" s="24"/>
      <c r="D259" s="21"/>
      <c r="E259" s="21"/>
      <c r="G259" s="21"/>
      <c r="I259" s="21"/>
    </row>
    <row r="260" spans="2:9" x14ac:dyDescent="0.25">
      <c r="B260" s="24"/>
      <c r="D260" s="21"/>
      <c r="E260" s="21"/>
      <c r="G260" s="21"/>
      <c r="I260" s="21"/>
    </row>
    <row r="261" spans="2:9" x14ac:dyDescent="0.25">
      <c r="B261" s="24"/>
      <c r="D261" s="21"/>
      <c r="E261" s="21"/>
      <c r="G261" s="21"/>
      <c r="I261" s="21"/>
    </row>
    <row r="262" spans="2:9" x14ac:dyDescent="0.25">
      <c r="B262" s="24"/>
      <c r="D262" s="21"/>
      <c r="E262" s="21"/>
      <c r="G262" s="21"/>
      <c r="I262" s="21"/>
    </row>
    <row r="263" spans="2:9" x14ac:dyDescent="0.25">
      <c r="B263" s="24"/>
      <c r="D263" s="21"/>
      <c r="E263" s="21"/>
      <c r="G263" s="21"/>
      <c r="I263" s="21"/>
    </row>
    <row r="264" spans="2:9" x14ac:dyDescent="0.25">
      <c r="B264" s="24"/>
      <c r="D264" s="21"/>
      <c r="E264" s="21"/>
      <c r="G264" s="21"/>
      <c r="I264" s="21"/>
    </row>
    <row r="265" spans="2:9" x14ac:dyDescent="0.25">
      <c r="B265" s="24"/>
      <c r="D265" s="21"/>
      <c r="E265" s="21"/>
      <c r="G265" s="21"/>
      <c r="I265" s="21"/>
    </row>
    <row r="266" spans="2:9" x14ac:dyDescent="0.25">
      <c r="B266" s="24"/>
      <c r="D266" s="21"/>
      <c r="E266" s="21"/>
      <c r="G266" s="21"/>
      <c r="I266" s="21"/>
    </row>
    <row r="267" spans="2:9" x14ac:dyDescent="0.25">
      <c r="B267" s="24"/>
      <c r="D267" s="21"/>
      <c r="E267" s="21"/>
      <c r="G267" s="21"/>
      <c r="I267" s="21"/>
    </row>
    <row r="268" spans="2:9" x14ac:dyDescent="0.25">
      <c r="B268" s="24"/>
      <c r="D268" s="21"/>
      <c r="E268" s="21"/>
      <c r="G268" s="21"/>
      <c r="I268" s="21"/>
    </row>
    <row r="269" spans="2:9" x14ac:dyDescent="0.25">
      <c r="B269" s="24"/>
      <c r="D269" s="21"/>
      <c r="E269" s="21"/>
      <c r="G269" s="21"/>
      <c r="I269" s="21"/>
    </row>
    <row r="270" spans="2:9" x14ac:dyDescent="0.25">
      <c r="B270" s="24"/>
      <c r="D270" s="21"/>
      <c r="E270" s="21"/>
      <c r="G270" s="21"/>
      <c r="I270" s="21"/>
    </row>
    <row r="271" spans="2:9" x14ac:dyDescent="0.25">
      <c r="B271" s="24"/>
      <c r="D271" s="21"/>
      <c r="E271" s="21"/>
      <c r="G271" s="21"/>
      <c r="I271" s="21"/>
    </row>
    <row r="272" spans="2:9" x14ac:dyDescent="0.25">
      <c r="B272" s="24"/>
      <c r="D272" s="21"/>
      <c r="E272" s="21"/>
      <c r="G272" s="21"/>
      <c r="I272" s="21"/>
    </row>
    <row r="273" spans="2:9" x14ac:dyDescent="0.25">
      <c r="B273" s="24"/>
      <c r="D273" s="21"/>
      <c r="E273" s="21"/>
      <c r="G273" s="21"/>
      <c r="I273" s="21"/>
    </row>
    <row r="274" spans="2:9" x14ac:dyDescent="0.25">
      <c r="B274" s="24"/>
      <c r="D274" s="21"/>
      <c r="E274" s="21"/>
      <c r="G274" s="21"/>
      <c r="I274" s="21"/>
    </row>
    <row r="275" spans="2:9" x14ac:dyDescent="0.25">
      <c r="B275" s="24"/>
      <c r="D275" s="21"/>
      <c r="E275" s="21"/>
      <c r="G275" s="21"/>
      <c r="I275" s="21"/>
    </row>
    <row r="276" spans="2:9" x14ac:dyDescent="0.25">
      <c r="B276" s="24"/>
      <c r="D276" s="21"/>
      <c r="E276" s="21"/>
      <c r="G276" s="21"/>
      <c r="I276" s="21"/>
    </row>
    <row r="277" spans="2:9" x14ac:dyDescent="0.25">
      <c r="B277" s="24"/>
      <c r="D277" s="21"/>
      <c r="E277" s="21"/>
      <c r="G277" s="21"/>
      <c r="I277" s="21"/>
    </row>
    <row r="278" spans="2:9" x14ac:dyDescent="0.25">
      <c r="B278" s="24"/>
      <c r="D278" s="21"/>
      <c r="E278" s="21"/>
      <c r="G278" s="21"/>
      <c r="I278" s="21"/>
    </row>
    <row r="279" spans="2:9" x14ac:dyDescent="0.25">
      <c r="B279" s="24"/>
      <c r="D279" s="21"/>
      <c r="E279" s="21"/>
      <c r="G279" s="21"/>
      <c r="I279" s="21"/>
    </row>
    <row r="280" spans="2:9" x14ac:dyDescent="0.25">
      <c r="D280" s="21"/>
      <c r="E280" s="21"/>
      <c r="G280" s="21"/>
      <c r="I280" s="21"/>
    </row>
    <row r="281" spans="2:9" x14ac:dyDescent="0.25">
      <c r="D281" s="21"/>
      <c r="E281" s="21"/>
      <c r="G281" s="21"/>
      <c r="I281" s="21"/>
    </row>
    <row r="282" spans="2:9" x14ac:dyDescent="0.25">
      <c r="D282" s="21"/>
      <c r="E282" s="21"/>
      <c r="G282" s="21"/>
      <c r="I282" s="21"/>
    </row>
    <row r="283" spans="2:9" x14ac:dyDescent="0.25">
      <c r="D283" s="21"/>
      <c r="E283" s="21"/>
      <c r="G283" s="21"/>
      <c r="I283" s="21"/>
    </row>
    <row r="284" spans="2:9" x14ac:dyDescent="0.25">
      <c r="G284" s="21"/>
      <c r="I284" s="21"/>
    </row>
    <row r="285" spans="2:9" x14ac:dyDescent="0.25">
      <c r="G285" s="21"/>
      <c r="I285" s="21"/>
    </row>
    <row r="286" spans="2:9" x14ac:dyDescent="0.25">
      <c r="I286" s="21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Planilha1</vt:lpstr>
      <vt:lpstr>Planilha2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Tatiane Rocha | Tecsul</dc:creator>
  <cp:lastModifiedBy>André Ferreira | Tecsul</cp:lastModifiedBy>
  <dcterms:created xsi:type="dcterms:W3CDTF">2024-11-25T18:36:40Z</dcterms:created>
  <dcterms:modified xsi:type="dcterms:W3CDTF">2024-12-02T14:27:22Z</dcterms:modified>
</cp:coreProperties>
</file>