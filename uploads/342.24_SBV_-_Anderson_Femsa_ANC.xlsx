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tecsul365.sharepoint.com/sites/Dados/Publico/Documentos Compartilhados/TECSUL PRINCIPAL/SERVIÇOS/DESPESAS VIAGEM/2024/10. OUTUBRO/"/>
    </mc:Choice>
  </mc:AlternateContent>
  <xr:revisionPtr revIDLastSave="160" documentId="13_ncr:1_{5A76A97D-768C-443B-804D-996D35DBC681}" xr6:coauthVersionLast="47" xr6:coauthVersionMax="47" xr10:uidLastSave="{7239C755-CE12-4CBC-BFF5-361734EA428A}"/>
  <bookViews>
    <workbookView xWindow="-108" yWindow="-108" windowWidth="23256" windowHeight="12456" xr2:uid="{7460CFF7-4896-40AF-9F12-C4DA4BE77189}"/>
  </bookViews>
  <sheets>
    <sheet name="Relatorio de Prestacao Contas" sheetId="1" r:id="rId1"/>
  </sheets>
  <definedNames>
    <definedName name="_xlnm.Print_Area" localSheetId="0">'Relatorio de Prestacao Contas'!$A$1:$P$73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12" i="1"/>
  <c r="C18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34" i="1"/>
  <c r="N26" i="1" l="1"/>
  <c r="N18" i="1"/>
  <c r="N20" i="1"/>
  <c r="N23" i="1"/>
  <c r="N24" i="1" l="1"/>
  <c r="N25" i="1"/>
  <c r="N27" i="1"/>
  <c r="N22" i="1"/>
  <c r="K28" i="1" l="1"/>
  <c r="N15" i="1" l="1"/>
  <c r="N16" i="1"/>
  <c r="N17" i="1"/>
  <c r="N19" i="1"/>
  <c r="E69" i="1"/>
  <c r="F69" i="1"/>
  <c r="D58" i="1"/>
  <c r="K30" i="1" l="1"/>
  <c r="C58" i="1"/>
  <c r="G69" i="1" l="1"/>
  <c r="L58" i="1"/>
  <c r="J58" i="1"/>
  <c r="I58" i="1"/>
  <c r="K61" i="1" s="1"/>
  <c r="H58" i="1"/>
  <c r="G58" i="1"/>
  <c r="F58" i="1"/>
  <c r="E58" i="1"/>
  <c r="K58" i="1" l="1"/>
</calcChain>
</file>

<file path=xl/sharedStrings.xml><?xml version="1.0" encoding="utf-8"?>
<sst xmlns="http://schemas.openxmlformats.org/spreadsheetml/2006/main" count="124" uniqueCount="108">
  <si>
    <t xml:space="preserve">RELATÓRIO DE DESPESAS                           </t>
  </si>
  <si>
    <t>Viagem</t>
  </si>
  <si>
    <t>Interno</t>
  </si>
  <si>
    <t>DADOS BANCARIOS DO COLABORADOR</t>
  </si>
  <si>
    <t>BANCO</t>
  </si>
  <si>
    <t>TIPO (C/C OU POUP)</t>
  </si>
  <si>
    <t>Regra Geral - reembolso conta Itau - demais bancos somente com aprovação</t>
  </si>
  <si>
    <t>Dados bancarios para devolução em caso de saldo: CNPJ Tecsul</t>
  </si>
  <si>
    <t>NÚMERO PDV</t>
  </si>
  <si>
    <t>NÚMERO OS</t>
  </si>
  <si>
    <t>ESPECIFICAÇÃO DE DESPESAS</t>
  </si>
  <si>
    <t>Forma Pagamento</t>
  </si>
  <si>
    <t>TOTAL GERAL</t>
  </si>
  <si>
    <t>TOTAL ORÇADO</t>
  </si>
  <si>
    <t>Cartão de Crédito</t>
  </si>
  <si>
    <t xml:space="preserve">Maiorca </t>
  </si>
  <si>
    <t>WT</t>
  </si>
  <si>
    <t>Faturada</t>
  </si>
  <si>
    <t>Adiantamento</t>
  </si>
  <si>
    <t>Reembolso</t>
  </si>
  <si>
    <t>Insumos</t>
  </si>
  <si>
    <t>HOTEL</t>
  </si>
  <si>
    <t xml:space="preserve">REFEIÇÕES </t>
  </si>
  <si>
    <t>DESLOCAMENTO (UBER, TAXI, ONIBUS)</t>
  </si>
  <si>
    <t>QUILOMETRAGEM (R$ 0,81/Km rodado)</t>
  </si>
  <si>
    <t>COMBUSTÍVEL</t>
  </si>
  <si>
    <t>LOCAÇÃO AUTOMOVEL</t>
  </si>
  <si>
    <t>PASSAGENS AEREAS</t>
  </si>
  <si>
    <t>PEDÁGIO</t>
  </si>
  <si>
    <t>ESTACIONAMENTO / LAVA CAR</t>
  </si>
  <si>
    <t>TELEFONE</t>
  </si>
  <si>
    <t>CORREIO</t>
  </si>
  <si>
    <t>MATERIAL DE EPI</t>
  </si>
  <si>
    <t>CARTÓRIO</t>
  </si>
  <si>
    <t>DESPESAS C/ COPA</t>
  </si>
  <si>
    <t>DESPESAS C/ PEQUENOS ATIVOS</t>
  </si>
  <si>
    <t>TREINAMENTO/CURSO</t>
  </si>
  <si>
    <t>ÁCIDO</t>
  </si>
  <si>
    <t>SODA</t>
  </si>
  <si>
    <t>VP30</t>
  </si>
  <si>
    <t>D70</t>
  </si>
  <si>
    <t>FP91</t>
  </si>
  <si>
    <t>ADESIVO INDUSTRIAL</t>
  </si>
  <si>
    <t>Reembolso Colaborador</t>
  </si>
  <si>
    <t>DATA</t>
  </si>
  <si>
    <t>Colaborador</t>
  </si>
  <si>
    <t>Financeiro</t>
  </si>
  <si>
    <t>Diretoria</t>
  </si>
  <si>
    <t>Coordenação</t>
  </si>
  <si>
    <t>Gestor Autorizador</t>
  </si>
  <si>
    <t>Requisitante</t>
  </si>
  <si>
    <t>Centro Custo</t>
  </si>
  <si>
    <t>ÁGUA</t>
  </si>
  <si>
    <t>Unidade</t>
  </si>
  <si>
    <t>Produto</t>
  </si>
  <si>
    <t>Projeto</t>
  </si>
  <si>
    <t>TOTAL</t>
  </si>
  <si>
    <t>Data do Adiantamento</t>
  </si>
  <si>
    <t>Valor do Adiantamento</t>
  </si>
  <si>
    <t>Data de entrega ao Gerente</t>
  </si>
  <si>
    <t>Data de entrega ao Financeiro</t>
  </si>
  <si>
    <t>Devolução para a Tecsul</t>
  </si>
  <si>
    <t>Gerência</t>
  </si>
  <si>
    <t>Cartão Alelo</t>
  </si>
  <si>
    <t>CÓDIGO PN</t>
  </si>
  <si>
    <t>CENTRO CUSTO</t>
  </si>
  <si>
    <t>COLABORADOR</t>
  </si>
  <si>
    <t>VALOR SOLICITADO</t>
  </si>
  <si>
    <t>VALOR GASTO</t>
  </si>
  <si>
    <t>SALDO</t>
  </si>
  <si>
    <t>OBSERVAÇÃO</t>
  </si>
  <si>
    <t>PIX</t>
  </si>
  <si>
    <t>OUTROS</t>
  </si>
  <si>
    <t>Quantidade de Técnicos</t>
  </si>
  <si>
    <t>Diárias de Relatorio</t>
  </si>
  <si>
    <t>Dias de Serviço 01</t>
  </si>
  <si>
    <t>Dias de Serviço 02</t>
  </si>
  <si>
    <t>Hora Inicio</t>
  </si>
  <si>
    <t>Hora Fim</t>
  </si>
  <si>
    <t>Total de Deslocamento</t>
  </si>
  <si>
    <t>Intrajornada</t>
  </si>
  <si>
    <t>Horas totais dia</t>
  </si>
  <si>
    <t>Dias de Serviço 03</t>
  </si>
  <si>
    <t>Dias de Serviço 04</t>
  </si>
  <si>
    <t>Dias de Serviço 05</t>
  </si>
  <si>
    <t>Dias de Serviço 06</t>
  </si>
  <si>
    <t>Nº PROJETO</t>
  </si>
  <si>
    <t>LUIZ ANGELOTTI</t>
  </si>
  <si>
    <t>S-SERVIÇO</t>
  </si>
  <si>
    <t xml:space="preserve">CENTRO DE SERVIÇO </t>
  </si>
  <si>
    <t>Deslocamento 1</t>
  </si>
  <si>
    <t>Deslocamento 2</t>
  </si>
  <si>
    <t>Deslocamento 3</t>
  </si>
  <si>
    <t>Deslocamento 4</t>
  </si>
  <si>
    <t>Deslocamento 5</t>
  </si>
  <si>
    <t>Deslocamento 6</t>
  </si>
  <si>
    <t>-</t>
  </si>
  <si>
    <t>DESLOCAMENTO</t>
  </si>
  <si>
    <t>SERVIÇO</t>
  </si>
  <si>
    <t>TOTAL Horas D</t>
  </si>
  <si>
    <t>TOTAL Horas R</t>
  </si>
  <si>
    <t>TOTAL Horas S</t>
  </si>
  <si>
    <t>Diárias de Serviço</t>
  </si>
  <si>
    <t>Hora fim</t>
  </si>
  <si>
    <t>Hora inicio</t>
  </si>
  <si>
    <t>LAVANDERIA</t>
  </si>
  <si>
    <t>ANDERSON</t>
  </si>
  <si>
    <t xml:space="preserve"> 342.24.SBV -  Femsa 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</si>
</sst>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  <numFmt numFmtId="166" formatCode="[$-F400]h:mm:ss\ AM/PM"/>
    <numFmt numFmtId="167" formatCode="[h]:mm:ss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FF"/>
      <name val="Calibri"/>
      <family val="2"/>
      <scheme val="minor"/>
    </font>
    <font>
      <b/>
      <i/>
      <sz val="16"/>
      <name val="Calibri"/>
      <family val="2"/>
      <scheme val="minor"/>
    </font>
    <font>
      <b/>
      <sz val="2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A6A6A6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rgb="FFA6A6A6"/>
      </top>
      <bottom style="thin">
        <color rgb="FFA6A6A6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A6A6A6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4" fontId="7" fillId="0" borderId="1" xfId="2" applyFont="1" applyBorder="1" applyAlignment="1" applyProtection="1">
      <alignment horizontal="left"/>
      <protection locked="0"/>
    </xf>
    <xf numFmtId="44" fontId="7" fillId="0" borderId="1" xfId="2" applyFont="1" applyBorder="1" applyAlignment="1">
      <alignment horizontal="left"/>
    </xf>
    <xf numFmtId="44" fontId="7" fillId="2" borderId="1" xfId="2" applyFont="1" applyFill="1" applyBorder="1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44" fontId="7" fillId="4" borderId="0" xfId="2" applyFont="1" applyFill="1" applyBorder="1" applyAlignment="1">
      <alignment horizontal="left"/>
    </xf>
    <xf numFmtId="44" fontId="7" fillId="4" borderId="0" xfId="2" applyFont="1" applyFill="1" applyBorder="1" applyAlignment="1" applyProtection="1">
      <alignment horizontal="left"/>
      <protection locked="0"/>
    </xf>
    <xf numFmtId="44" fontId="7" fillId="4" borderId="0" xfId="2" applyFont="1" applyFill="1" applyBorder="1" applyAlignment="1" applyProtection="1">
      <alignment horizontal="right" vertical="center"/>
      <protection locked="0"/>
    </xf>
    <xf numFmtId="44" fontId="7" fillId="0" borderId="0" xfId="2" applyFont="1" applyBorder="1" applyAlignment="1">
      <alignment horizontal="left"/>
    </xf>
    <xf numFmtId="44" fontId="7" fillId="0" borderId="0" xfId="2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4" fontId="8" fillId="6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4" fontId="9" fillId="0" borderId="24" xfId="0" applyNumberFormat="1" applyFont="1" applyBorder="1" applyAlignment="1">
      <alignment horizontal="center" vertical="center"/>
    </xf>
    <xf numFmtId="166" fontId="9" fillId="0" borderId="24" xfId="0" applyNumberFormat="1" applyFont="1" applyBorder="1" applyAlignment="1">
      <alignment horizontal="center" vertical="center"/>
    </xf>
    <xf numFmtId="0" fontId="7" fillId="0" borderId="0" xfId="0" applyFont="1" applyProtection="1">
      <protection locked="0"/>
    </xf>
    <xf numFmtId="2" fontId="8" fillId="6" borderId="1" xfId="0" applyNumberFormat="1" applyFont="1" applyFill="1" applyBorder="1" applyAlignment="1" applyProtection="1">
      <alignment vertical="center"/>
      <protection locked="0"/>
    </xf>
    <xf numFmtId="0" fontId="8" fillId="6" borderId="1" xfId="0" applyFont="1" applyFill="1" applyBorder="1" applyAlignment="1">
      <alignment horizontal="center" vertical="center"/>
    </xf>
    <xf numFmtId="0" fontId="9" fillId="0" borderId="0" xfId="0" applyFont="1" applyProtection="1">
      <protection locked="0"/>
    </xf>
    <xf numFmtId="2" fontId="4" fillId="0" borderId="0" xfId="0" applyNumberFormat="1" applyFont="1" applyAlignment="1" applyProtection="1">
      <alignment horizontal="left" vertical="top"/>
      <protection locked="0"/>
    </xf>
    <xf numFmtId="2" fontId="4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Protection="1">
      <protection locked="0"/>
    </xf>
    <xf numFmtId="2" fontId="7" fillId="0" borderId="0" xfId="0" applyNumberFormat="1" applyFont="1" applyAlignment="1" applyProtection="1">
      <alignment horizontal="right"/>
      <protection locked="0"/>
    </xf>
    <xf numFmtId="2" fontId="4" fillId="0" borderId="0" xfId="0" applyNumberFormat="1" applyFont="1" applyProtection="1">
      <protection locked="0"/>
    </xf>
    <xf numFmtId="14" fontId="10" fillId="6" borderId="10" xfId="0" applyNumberFormat="1" applyFont="1" applyFill="1" applyBorder="1" applyAlignment="1" applyProtection="1">
      <alignment horizontal="right"/>
      <protection locked="0"/>
    </xf>
    <xf numFmtId="0" fontId="4" fillId="4" borderId="0" xfId="0" applyFont="1" applyFill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4" fillId="6" borderId="10" xfId="0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2" fontId="4" fillId="0" borderId="23" xfId="0" applyNumberFormat="1" applyFont="1" applyBorder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14" fontId="4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44" fontId="4" fillId="2" borderId="3" xfId="2" applyFont="1" applyFill="1" applyBorder="1" applyAlignment="1" applyProtection="1">
      <alignment horizontal="center" vertical="center"/>
      <protection locked="0"/>
    </xf>
    <xf numFmtId="44" fontId="4" fillId="2" borderId="2" xfId="2" applyFont="1" applyFill="1" applyBorder="1" applyAlignment="1" applyProtection="1">
      <alignment horizontal="center" vertical="center"/>
      <protection locked="0"/>
    </xf>
    <xf numFmtId="43" fontId="7" fillId="0" borderId="0" xfId="1" applyFont="1" applyProtection="1"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2" fontId="7" fillId="0" borderId="0" xfId="0" quotePrefix="1" applyNumberFormat="1" applyFont="1" applyAlignment="1" applyProtection="1">
      <alignment horizontal="left"/>
      <protection locked="0"/>
    </xf>
    <xf numFmtId="43" fontId="7" fillId="0" borderId="0" xfId="1" applyFont="1" applyBorder="1" applyProtection="1">
      <protection locked="0"/>
    </xf>
    <xf numFmtId="2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quotePrefix="1" applyFont="1" applyBorder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44" fontId="7" fillId="0" borderId="1" xfId="0" applyNumberFormat="1" applyFont="1" applyBorder="1" applyAlignment="1" applyProtection="1">
      <alignment horizontal="center"/>
      <protection locked="0"/>
    </xf>
    <xf numFmtId="44" fontId="9" fillId="0" borderId="1" xfId="0" applyNumberFormat="1" applyFont="1" applyBorder="1" applyProtection="1">
      <protection locked="0"/>
    </xf>
    <xf numFmtId="44" fontId="7" fillId="0" borderId="3" xfId="0" applyNumberFormat="1" applyFont="1" applyBorder="1" applyProtection="1">
      <protection locked="0"/>
    </xf>
    <xf numFmtId="44" fontId="7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2" fontId="7" fillId="0" borderId="0" xfId="0" applyNumberFormat="1" applyFont="1" applyAlignment="1" applyProtection="1">
      <alignment horizontal="left"/>
      <protection locked="0"/>
    </xf>
    <xf numFmtId="14" fontId="7" fillId="0" borderId="0" xfId="0" applyNumberFormat="1" applyFont="1" applyAlignment="1" applyProtection="1">
      <alignment horizontal="left"/>
      <protection locked="0"/>
    </xf>
    <xf numFmtId="44" fontId="4" fillId="8" borderId="1" xfId="0" applyNumberFormat="1" applyFont="1" applyFill="1" applyBorder="1" applyAlignment="1" applyProtection="1">
      <alignment horizontal="left"/>
      <protection locked="0"/>
    </xf>
    <xf numFmtId="0" fontId="7" fillId="0" borderId="6" xfId="0" applyFont="1" applyBorder="1" applyProtection="1">
      <protection locked="0"/>
    </xf>
    <xf numFmtId="2" fontId="7" fillId="0" borderId="6" xfId="0" applyNumberFormat="1" applyFont="1" applyBorder="1" applyProtection="1">
      <protection locked="0"/>
    </xf>
    <xf numFmtId="2" fontId="7" fillId="0" borderId="6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2" fontId="5" fillId="0" borderId="1" xfId="0" applyNumberFormat="1" applyFont="1" applyBorder="1" applyAlignment="1" applyProtection="1">
      <alignment horizontal="left" vertical="center" wrapText="1"/>
      <protection locked="0"/>
    </xf>
    <xf numFmtId="2" fontId="13" fillId="0" borderId="0" xfId="0" applyNumberFormat="1" applyFont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2" fontId="12" fillId="0" borderId="0" xfId="0" applyNumberFormat="1" applyFont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0" fontId="4" fillId="6" borderId="1" xfId="0" applyFont="1" applyFill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4" fillId="8" borderId="24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left"/>
      <protection locked="0"/>
    </xf>
    <xf numFmtId="2" fontId="4" fillId="0" borderId="25" xfId="0" applyNumberFormat="1" applyFont="1" applyBorder="1" applyAlignment="1" applyProtection="1">
      <alignment horizontal="left"/>
      <protection locked="0"/>
    </xf>
    <xf numFmtId="2" fontId="8" fillId="9" borderId="1" xfId="0" applyNumberFormat="1" applyFont="1" applyFill="1" applyBorder="1" applyAlignment="1" applyProtection="1">
      <alignment horizontal="left" vertical="center"/>
      <protection locked="0"/>
    </xf>
    <xf numFmtId="0" fontId="10" fillId="6" borderId="8" xfId="0" applyFont="1" applyFill="1" applyBorder="1" applyAlignment="1" applyProtection="1">
      <alignment horizontal="right"/>
      <protection locked="0"/>
    </xf>
    <xf numFmtId="0" fontId="10" fillId="6" borderId="11" xfId="0" applyFont="1" applyFill="1" applyBorder="1" applyAlignment="1" applyProtection="1">
      <alignment horizontal="right"/>
      <protection locked="0"/>
    </xf>
    <xf numFmtId="14" fontId="4" fillId="0" borderId="16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8" xfId="0" quotePrefix="1" applyFont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right" vertical="center"/>
      <protection locked="0"/>
    </xf>
    <xf numFmtId="0" fontId="4" fillId="3" borderId="7" xfId="0" applyFont="1" applyFill="1" applyBorder="1" applyAlignment="1" applyProtection="1">
      <alignment horizontal="right" vertical="center"/>
      <protection locked="0"/>
    </xf>
    <xf numFmtId="0" fontId="4" fillId="3" borderId="5" xfId="0" applyFont="1" applyFill="1" applyBorder="1" applyAlignment="1" applyProtection="1">
      <alignment horizontal="right" vertical="center"/>
      <protection locked="0"/>
    </xf>
    <xf numFmtId="164" fontId="4" fillId="0" borderId="4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top"/>
      <protection locked="0"/>
    </xf>
    <xf numFmtId="2" fontId="8" fillId="6" borderId="1" xfId="0" applyNumberFormat="1" applyFont="1" applyFill="1" applyBorder="1" applyAlignment="1" applyProtection="1">
      <alignment horizontal="center" vertical="center"/>
      <protection locked="0"/>
    </xf>
    <xf numFmtId="165" fontId="4" fillId="0" borderId="16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0" fontId="4" fillId="6" borderId="8" xfId="0" applyFont="1" applyFill="1" applyBorder="1" applyAlignment="1" applyProtection="1">
      <alignment horizontal="center" vertical="center"/>
      <protection locked="0"/>
    </xf>
    <xf numFmtId="0" fontId="4" fillId="6" borderId="9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4" fontId="8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8" xfId="0" applyFont="1" applyFill="1" applyBorder="1" applyAlignment="1" applyProtection="1">
      <alignment horizontal="right"/>
      <protection locked="0"/>
    </xf>
    <xf numFmtId="0" fontId="4" fillId="6" borderId="17" xfId="0" applyFont="1" applyFill="1" applyBorder="1" applyAlignment="1" applyProtection="1">
      <alignment horizontal="right"/>
      <protection locked="0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4" fontId="8" fillId="6" borderId="3" xfId="0" applyNumberFormat="1" applyFont="1" applyFill="1" applyBorder="1" applyAlignment="1">
      <alignment horizontal="center" vertical="center"/>
    </xf>
    <xf numFmtId="14" fontId="8" fillId="6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8" fillId="6" borderId="3" xfId="0" applyNumberFormat="1" applyFont="1" applyFill="1" applyBorder="1" applyAlignment="1" applyProtection="1">
      <alignment horizontal="center" vertical="center"/>
      <protection locked="0"/>
    </xf>
    <xf numFmtId="2" fontId="8" fillId="6" borderId="2" xfId="0" applyNumberFormat="1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167" fontId="9" fillId="0" borderId="1" xfId="0" applyNumberFormat="1" applyFont="1" applyBorder="1" applyAlignment="1">
      <alignment horizontal="center" vertical="center"/>
    </xf>
    <xf numFmtId="2" fontId="8" fillId="9" borderId="3" xfId="0" applyNumberFormat="1" applyFont="1" applyFill="1" applyBorder="1" applyAlignment="1" applyProtection="1">
      <alignment horizontal="left" vertical="center"/>
      <protection locked="0"/>
    </xf>
    <xf numFmtId="2" fontId="8" fillId="9" borderId="2" xfId="0" applyNumberFormat="1" applyFont="1" applyFill="1" applyBorder="1" applyAlignment="1" applyProtection="1">
      <alignment horizontal="left" vertical="center"/>
      <protection locked="0"/>
    </xf>
  </cellXfs>
  <cellStyles count="26">
    <cellStyle name="Hiperlink" xfId="3" builtinId="8"/>
    <cellStyle name="Moeda" xfId="2" builtinId="4"/>
    <cellStyle name="Moeda 2" xfId="5" xr:uid="{826931E2-88AD-4F06-873C-E85D09260C01}"/>
    <cellStyle name="Moeda 2 2" xfId="11" xr:uid="{7FFE79B8-0AA6-41B1-AC72-D98A743841BF}"/>
    <cellStyle name="Moeda 2 2 2" xfId="23" xr:uid="{72778515-9483-491F-99D2-1CA9DC073329}"/>
    <cellStyle name="Moeda 2 3" xfId="17" xr:uid="{865B0216-1261-4F7B-8CA7-223ED8A693BA}"/>
    <cellStyle name="Moeda 3" xfId="7" xr:uid="{976DA2C2-F223-4C1F-8659-229664D0223D}"/>
    <cellStyle name="Moeda 3 2" xfId="13" xr:uid="{F590710A-D25B-454E-B12D-4483521B80D2}"/>
    <cellStyle name="Moeda 3 2 2" xfId="25" xr:uid="{A94F7D8A-D071-4AE1-9394-4BD1C4F174A6}"/>
    <cellStyle name="Moeda 3 3" xfId="19" xr:uid="{A5D17363-C112-485D-9E63-405195C1FC5C}"/>
    <cellStyle name="Moeda 4" xfId="9" xr:uid="{DF9814D1-36D2-44E0-81CD-8A2F679FC58D}"/>
    <cellStyle name="Moeda 4 2" xfId="21" xr:uid="{F5AEE9FC-CDD1-4E8A-84F4-8065CC4E1AB4}"/>
    <cellStyle name="Moeda 5" xfId="15" xr:uid="{30BC41AA-3650-4AD1-8D8C-6366D9EE1624}"/>
    <cellStyle name="Normal" xfId="0" builtinId="0"/>
    <cellStyle name="Vírgula" xfId="1" builtinId="3"/>
    <cellStyle name="Vírgula 2" xfId="4" xr:uid="{99CAEF13-DB8D-4409-ADA8-9639AF68DA41}"/>
    <cellStyle name="Vírgula 2 2" xfId="10" xr:uid="{A3359011-E5AB-4481-9CF5-24D728F60B83}"/>
    <cellStyle name="Vírgula 2 2 2" xfId="22" xr:uid="{62F8317F-4238-40F5-AED5-C892D026C871}"/>
    <cellStyle name="Vírgula 2 3" xfId="16" xr:uid="{D8F6FEF6-EFAD-48E5-865E-F1300A6AD54F}"/>
    <cellStyle name="Vírgula 3" xfId="6" xr:uid="{20198952-6494-41F3-8983-DDD72372AC84}"/>
    <cellStyle name="Vírgula 3 2" xfId="12" xr:uid="{5447CF37-9D72-4714-ABD4-F940BCDB434F}"/>
    <cellStyle name="Vírgula 3 2 2" xfId="24" xr:uid="{D5386DBF-2ED8-421F-A1C6-59520766B765}"/>
    <cellStyle name="Vírgula 3 3" xfId="18" xr:uid="{75B52EDF-6E25-4CC9-9452-4B0BA70FC922}"/>
    <cellStyle name="Vírgula 4" xfId="8" xr:uid="{8B3CEF0A-6AAE-4A93-BCB4-43FF781A34D4}"/>
    <cellStyle name="Vírgula 4 2" xfId="20" xr:uid="{E6D4F94E-E30C-48DB-B42C-4FFD596DD0CB}"/>
    <cellStyle name="Vírgula 5" xfId="14" xr:uid="{01251367-0303-4117-847C-A292558B9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734786</xdr:colOff>
      <xdr:row>2</xdr:row>
      <xdr:rowOff>95250</xdr:rowOff>
    </xdr:from>
    <xdr:to>
      <xdr:col>6</xdr:col>
      <xdr:colOff>300931</xdr:colOff>
      <xdr:row>4</xdr:row>
      <xdr:rowOff>143897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7BA8184-27D9-4BBB-B14D-B71E5722178E}"/>
            </a:ext>
          </a:extLst>
        </xdr:cNvPr>
        <xdr:cNvSpPr/>
      </xdr:nvSpPr>
      <xdr:spPr bwMode="auto">
        <a:xfrm>
          <a:off x="7089322" y="503464"/>
          <a:ext cx="668323" cy="45686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100"/>
            <a:t>  </a:t>
          </a:r>
          <a:endParaRPr lang="pt-BR" sz="1800"/>
        </a:p>
      </xdr:txBody>
    </xdr:sp>
    <xdr:clientData/>
  </xdr:twoCellAnchor>
  <xdr:twoCellAnchor>
    <xdr:from>
      <xdr:col>3</xdr:col>
      <xdr:colOff>748392</xdr:colOff>
      <xdr:row>2</xdr:row>
      <xdr:rowOff>95251</xdr:rowOff>
    </xdr:from>
    <xdr:to>
      <xdr:col>4</xdr:col>
      <xdr:colOff>252488</xdr:colOff>
      <xdr:row>4</xdr:row>
      <xdr:rowOff>169334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5C63DAA-9A13-4803-B0A9-A60B076126E8}"/>
            </a:ext>
          </a:extLst>
        </xdr:cNvPr>
        <xdr:cNvSpPr/>
      </xdr:nvSpPr>
      <xdr:spPr bwMode="auto">
        <a:xfrm>
          <a:off x="4952999" y="585108"/>
          <a:ext cx="715132" cy="56394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100"/>
            <a:t>X</a:t>
          </a:r>
        </a:p>
      </xdr:txBody>
    </xdr:sp>
    <xdr:clientData/>
  </xdr:twoCellAnchor>
  <xdr:twoCellAnchor editAs="oneCell">
    <xdr:from>
      <xdr:col>0</xdr:col>
      <xdr:colOff>246148</xdr:colOff>
      <xdr:row>0</xdr:row>
      <xdr:rowOff>150777</xdr:rowOff>
    </xdr:from>
    <xdr:to>
      <xdr:col>1</xdr:col>
      <xdr:colOff>1652258</xdr:colOff>
      <xdr:row>4</xdr:row>
      <xdr:rowOff>54429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DC2898-F51B-4C90-BC8F-77D2296C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48" y="150777"/>
          <a:ext cx="2508289" cy="883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E369-F0E0-4DB0-96E1-63B8A2B1EA5C}">
  <sheetPr>
    <pageSetUpPr fitToPage="1"/>
  </sheetPr>
  <dimension ref="A1:Y77"/>
  <sheetViews>
    <sheetView showGridLines="0" tabSelected="1" view="pageBreakPreview" zoomScaleNormal="100" zoomScaleSheetLayoutView="100" workbookViewId="0">
      <selection activeCell="A61" sqref="A61"/>
    </sheetView>
  </sheetViews>
  <sheetFormatPr defaultColWidth="10.5546875" defaultRowHeight="17.100000000000001" customHeight="1" x14ac:dyDescent="0.35"/>
  <cols>
    <col min="1" max="1" width="16.44140625" style="22" customWidth="1"/>
    <col min="2" max="2" width="29.109375" style="22" customWidth="1"/>
    <col min="3" max="3" width="17.44140625" style="28" customWidth="1"/>
    <col min="4" max="4" width="18.109375" style="28" customWidth="1"/>
    <col min="5" max="5" width="23.88671875" style="28" bestFit="1" customWidth="1"/>
    <col min="6" max="6" width="16.5546875" style="28" bestFit="1" customWidth="1"/>
    <col min="7" max="7" width="19.6640625" style="28" customWidth="1"/>
    <col min="8" max="8" width="17.88671875" style="28" customWidth="1"/>
    <col min="9" max="9" width="15.88671875" style="28" customWidth="1"/>
    <col min="10" max="10" width="19.5546875" style="29" customWidth="1"/>
    <col min="11" max="11" width="17.109375" style="29" customWidth="1"/>
    <col min="12" max="12" width="15.88671875" style="28" customWidth="1"/>
    <col min="13" max="13" width="14.33203125" style="28" customWidth="1"/>
    <col min="14" max="14" width="19" style="28" customWidth="1"/>
    <col min="15" max="15" width="15.88671875" style="28" customWidth="1"/>
    <col min="16" max="16" width="15.88671875" style="22" customWidth="1"/>
    <col min="17" max="23" width="10.5546875" style="22"/>
    <col min="24" max="24" width="5.88671875" style="22" bestFit="1" customWidth="1"/>
    <col min="25" max="25" width="19.44140625" style="22" bestFit="1" customWidth="1"/>
    <col min="26" max="263" width="10.5546875" style="22"/>
    <col min="264" max="265" width="16.5546875" style="22" customWidth="1"/>
    <col min="266" max="266" width="20.109375" style="22" bestFit="1" customWidth="1"/>
    <col min="267" max="267" width="14.109375" style="22" bestFit="1" customWidth="1"/>
    <col min="268" max="268" width="14.5546875" style="22" customWidth="1"/>
    <col min="269" max="269" width="12.109375" style="22" customWidth="1"/>
    <col min="270" max="270" width="15.109375" style="22" customWidth="1"/>
    <col min="271" max="271" width="20.44140625" style="22" customWidth="1"/>
    <col min="272" max="279" width="10.5546875" style="22"/>
    <col min="280" max="280" width="5.88671875" style="22" bestFit="1" customWidth="1"/>
    <col min="281" max="281" width="19.44140625" style="22" bestFit="1" customWidth="1"/>
    <col min="282" max="519" width="10.5546875" style="22"/>
    <col min="520" max="521" width="16.5546875" style="22" customWidth="1"/>
    <col min="522" max="522" width="20.109375" style="22" bestFit="1" customWidth="1"/>
    <col min="523" max="523" width="14.109375" style="22" bestFit="1" customWidth="1"/>
    <col min="524" max="524" width="14.5546875" style="22" customWidth="1"/>
    <col min="525" max="525" width="12.109375" style="22" customWidth="1"/>
    <col min="526" max="526" width="15.109375" style="22" customWidth="1"/>
    <col min="527" max="527" width="20.44140625" style="22" customWidth="1"/>
    <col min="528" max="535" width="10.5546875" style="22"/>
    <col min="536" max="536" width="5.88671875" style="22" bestFit="1" customWidth="1"/>
    <col min="537" max="537" width="19.44140625" style="22" bestFit="1" customWidth="1"/>
    <col min="538" max="775" width="10.5546875" style="22"/>
    <col min="776" max="777" width="16.5546875" style="22" customWidth="1"/>
    <col min="778" max="778" width="20.109375" style="22" bestFit="1" customWidth="1"/>
    <col min="779" max="779" width="14.109375" style="22" bestFit="1" customWidth="1"/>
    <col min="780" max="780" width="14.5546875" style="22" customWidth="1"/>
    <col min="781" max="781" width="12.109375" style="22" customWidth="1"/>
    <col min="782" max="782" width="15.109375" style="22" customWidth="1"/>
    <col min="783" max="783" width="20.44140625" style="22" customWidth="1"/>
    <col min="784" max="791" width="10.5546875" style="22"/>
    <col min="792" max="792" width="5.88671875" style="22" bestFit="1" customWidth="1"/>
    <col min="793" max="793" width="19.44140625" style="22" bestFit="1" customWidth="1"/>
    <col min="794" max="1031" width="10.5546875" style="22"/>
    <col min="1032" max="1033" width="16.5546875" style="22" customWidth="1"/>
    <col min="1034" max="1034" width="20.109375" style="22" bestFit="1" customWidth="1"/>
    <col min="1035" max="1035" width="14.109375" style="22" bestFit="1" customWidth="1"/>
    <col min="1036" max="1036" width="14.5546875" style="22" customWidth="1"/>
    <col min="1037" max="1037" width="12.109375" style="22" customWidth="1"/>
    <col min="1038" max="1038" width="15.109375" style="22" customWidth="1"/>
    <col min="1039" max="1039" width="20.44140625" style="22" customWidth="1"/>
    <col min="1040" max="1047" width="10.5546875" style="22"/>
    <col min="1048" max="1048" width="5.88671875" style="22" bestFit="1" customWidth="1"/>
    <col min="1049" max="1049" width="19.44140625" style="22" bestFit="1" customWidth="1"/>
    <col min="1050" max="1287" width="10.5546875" style="22"/>
    <col min="1288" max="1289" width="16.5546875" style="22" customWidth="1"/>
    <col min="1290" max="1290" width="20.109375" style="22" bestFit="1" customWidth="1"/>
    <col min="1291" max="1291" width="14.109375" style="22" bestFit="1" customWidth="1"/>
    <col min="1292" max="1292" width="14.5546875" style="22" customWidth="1"/>
    <col min="1293" max="1293" width="12.109375" style="22" customWidth="1"/>
    <col min="1294" max="1294" width="15.109375" style="22" customWidth="1"/>
    <col min="1295" max="1295" width="20.44140625" style="22" customWidth="1"/>
    <col min="1296" max="1303" width="10.5546875" style="22"/>
    <col min="1304" max="1304" width="5.88671875" style="22" bestFit="1" customWidth="1"/>
    <col min="1305" max="1305" width="19.44140625" style="22" bestFit="1" customWidth="1"/>
    <col min="1306" max="1543" width="10.5546875" style="22"/>
    <col min="1544" max="1545" width="16.5546875" style="22" customWidth="1"/>
    <col min="1546" max="1546" width="20.109375" style="22" bestFit="1" customWidth="1"/>
    <col min="1547" max="1547" width="14.109375" style="22" bestFit="1" customWidth="1"/>
    <col min="1548" max="1548" width="14.5546875" style="22" customWidth="1"/>
    <col min="1549" max="1549" width="12.109375" style="22" customWidth="1"/>
    <col min="1550" max="1550" width="15.109375" style="22" customWidth="1"/>
    <col min="1551" max="1551" width="20.44140625" style="22" customWidth="1"/>
    <col min="1552" max="1559" width="10.5546875" style="22"/>
    <col min="1560" max="1560" width="5.88671875" style="22" bestFit="1" customWidth="1"/>
    <col min="1561" max="1561" width="19.44140625" style="22" bestFit="1" customWidth="1"/>
    <col min="1562" max="1799" width="10.5546875" style="22"/>
    <col min="1800" max="1801" width="16.5546875" style="22" customWidth="1"/>
    <col min="1802" max="1802" width="20.109375" style="22" bestFit="1" customWidth="1"/>
    <col min="1803" max="1803" width="14.109375" style="22" bestFit="1" customWidth="1"/>
    <col min="1804" max="1804" width="14.5546875" style="22" customWidth="1"/>
    <col min="1805" max="1805" width="12.109375" style="22" customWidth="1"/>
    <col min="1806" max="1806" width="15.109375" style="22" customWidth="1"/>
    <col min="1807" max="1807" width="20.44140625" style="22" customWidth="1"/>
    <col min="1808" max="1815" width="10.5546875" style="22"/>
    <col min="1816" max="1816" width="5.88671875" style="22" bestFit="1" customWidth="1"/>
    <col min="1817" max="1817" width="19.44140625" style="22" bestFit="1" customWidth="1"/>
    <col min="1818" max="2055" width="10.5546875" style="22"/>
    <col min="2056" max="2057" width="16.5546875" style="22" customWidth="1"/>
    <col min="2058" max="2058" width="20.109375" style="22" bestFit="1" customWidth="1"/>
    <col min="2059" max="2059" width="14.109375" style="22" bestFit="1" customWidth="1"/>
    <col min="2060" max="2060" width="14.5546875" style="22" customWidth="1"/>
    <col min="2061" max="2061" width="12.109375" style="22" customWidth="1"/>
    <col min="2062" max="2062" width="15.109375" style="22" customWidth="1"/>
    <col min="2063" max="2063" width="20.44140625" style="22" customWidth="1"/>
    <col min="2064" max="2071" width="10.5546875" style="22"/>
    <col min="2072" max="2072" width="5.88671875" style="22" bestFit="1" customWidth="1"/>
    <col min="2073" max="2073" width="19.44140625" style="22" bestFit="1" customWidth="1"/>
    <col min="2074" max="2311" width="10.5546875" style="22"/>
    <col min="2312" max="2313" width="16.5546875" style="22" customWidth="1"/>
    <col min="2314" max="2314" width="20.109375" style="22" bestFit="1" customWidth="1"/>
    <col min="2315" max="2315" width="14.109375" style="22" bestFit="1" customWidth="1"/>
    <col min="2316" max="2316" width="14.5546875" style="22" customWidth="1"/>
    <col min="2317" max="2317" width="12.109375" style="22" customWidth="1"/>
    <col min="2318" max="2318" width="15.109375" style="22" customWidth="1"/>
    <col min="2319" max="2319" width="20.44140625" style="22" customWidth="1"/>
    <col min="2320" max="2327" width="10.5546875" style="22"/>
    <col min="2328" max="2328" width="5.88671875" style="22" bestFit="1" customWidth="1"/>
    <col min="2329" max="2329" width="19.44140625" style="22" bestFit="1" customWidth="1"/>
    <col min="2330" max="2567" width="10.5546875" style="22"/>
    <col min="2568" max="2569" width="16.5546875" style="22" customWidth="1"/>
    <col min="2570" max="2570" width="20.109375" style="22" bestFit="1" customWidth="1"/>
    <col min="2571" max="2571" width="14.109375" style="22" bestFit="1" customWidth="1"/>
    <col min="2572" max="2572" width="14.5546875" style="22" customWidth="1"/>
    <col min="2573" max="2573" width="12.109375" style="22" customWidth="1"/>
    <col min="2574" max="2574" width="15.109375" style="22" customWidth="1"/>
    <col min="2575" max="2575" width="20.44140625" style="22" customWidth="1"/>
    <col min="2576" max="2583" width="10.5546875" style="22"/>
    <col min="2584" max="2584" width="5.88671875" style="22" bestFit="1" customWidth="1"/>
    <col min="2585" max="2585" width="19.44140625" style="22" bestFit="1" customWidth="1"/>
    <col min="2586" max="2823" width="10.5546875" style="22"/>
    <col min="2824" max="2825" width="16.5546875" style="22" customWidth="1"/>
    <col min="2826" max="2826" width="20.109375" style="22" bestFit="1" customWidth="1"/>
    <col min="2827" max="2827" width="14.109375" style="22" bestFit="1" customWidth="1"/>
    <col min="2828" max="2828" width="14.5546875" style="22" customWidth="1"/>
    <col min="2829" max="2829" width="12.109375" style="22" customWidth="1"/>
    <col min="2830" max="2830" width="15.109375" style="22" customWidth="1"/>
    <col min="2831" max="2831" width="20.44140625" style="22" customWidth="1"/>
    <col min="2832" max="2839" width="10.5546875" style="22"/>
    <col min="2840" max="2840" width="5.88671875" style="22" bestFit="1" customWidth="1"/>
    <col min="2841" max="2841" width="19.44140625" style="22" bestFit="1" customWidth="1"/>
    <col min="2842" max="3079" width="10.5546875" style="22"/>
    <col min="3080" max="3081" width="16.5546875" style="22" customWidth="1"/>
    <col min="3082" max="3082" width="20.109375" style="22" bestFit="1" customWidth="1"/>
    <col min="3083" max="3083" width="14.109375" style="22" bestFit="1" customWidth="1"/>
    <col min="3084" max="3084" width="14.5546875" style="22" customWidth="1"/>
    <col min="3085" max="3085" width="12.109375" style="22" customWidth="1"/>
    <col min="3086" max="3086" width="15.109375" style="22" customWidth="1"/>
    <col min="3087" max="3087" width="20.44140625" style="22" customWidth="1"/>
    <col min="3088" max="3095" width="10.5546875" style="22"/>
    <col min="3096" max="3096" width="5.88671875" style="22" bestFit="1" customWidth="1"/>
    <col min="3097" max="3097" width="19.44140625" style="22" bestFit="1" customWidth="1"/>
    <col min="3098" max="3335" width="10.5546875" style="22"/>
    <col min="3336" max="3337" width="16.5546875" style="22" customWidth="1"/>
    <col min="3338" max="3338" width="20.109375" style="22" bestFit="1" customWidth="1"/>
    <col min="3339" max="3339" width="14.109375" style="22" bestFit="1" customWidth="1"/>
    <col min="3340" max="3340" width="14.5546875" style="22" customWidth="1"/>
    <col min="3341" max="3341" width="12.109375" style="22" customWidth="1"/>
    <col min="3342" max="3342" width="15.109375" style="22" customWidth="1"/>
    <col min="3343" max="3343" width="20.44140625" style="22" customWidth="1"/>
    <col min="3344" max="3351" width="10.5546875" style="22"/>
    <col min="3352" max="3352" width="5.88671875" style="22" bestFit="1" customWidth="1"/>
    <col min="3353" max="3353" width="19.44140625" style="22" bestFit="1" customWidth="1"/>
    <col min="3354" max="3591" width="10.5546875" style="22"/>
    <col min="3592" max="3593" width="16.5546875" style="22" customWidth="1"/>
    <col min="3594" max="3594" width="20.109375" style="22" bestFit="1" customWidth="1"/>
    <col min="3595" max="3595" width="14.109375" style="22" bestFit="1" customWidth="1"/>
    <col min="3596" max="3596" width="14.5546875" style="22" customWidth="1"/>
    <col min="3597" max="3597" width="12.109375" style="22" customWidth="1"/>
    <col min="3598" max="3598" width="15.109375" style="22" customWidth="1"/>
    <col min="3599" max="3599" width="20.44140625" style="22" customWidth="1"/>
    <col min="3600" max="3607" width="10.5546875" style="22"/>
    <col min="3608" max="3608" width="5.88671875" style="22" bestFit="1" customWidth="1"/>
    <col min="3609" max="3609" width="19.44140625" style="22" bestFit="1" customWidth="1"/>
    <col min="3610" max="3847" width="10.5546875" style="22"/>
    <col min="3848" max="3849" width="16.5546875" style="22" customWidth="1"/>
    <col min="3850" max="3850" width="20.109375" style="22" bestFit="1" customWidth="1"/>
    <col min="3851" max="3851" width="14.109375" style="22" bestFit="1" customWidth="1"/>
    <col min="3852" max="3852" width="14.5546875" style="22" customWidth="1"/>
    <col min="3853" max="3853" width="12.109375" style="22" customWidth="1"/>
    <col min="3854" max="3854" width="15.109375" style="22" customWidth="1"/>
    <col min="3855" max="3855" width="20.44140625" style="22" customWidth="1"/>
    <col min="3856" max="3863" width="10.5546875" style="22"/>
    <col min="3864" max="3864" width="5.88671875" style="22" bestFit="1" customWidth="1"/>
    <col min="3865" max="3865" width="19.44140625" style="22" bestFit="1" customWidth="1"/>
    <col min="3866" max="4103" width="10.5546875" style="22"/>
    <col min="4104" max="4105" width="16.5546875" style="22" customWidth="1"/>
    <col min="4106" max="4106" width="20.109375" style="22" bestFit="1" customWidth="1"/>
    <col min="4107" max="4107" width="14.109375" style="22" bestFit="1" customWidth="1"/>
    <col min="4108" max="4108" width="14.5546875" style="22" customWidth="1"/>
    <col min="4109" max="4109" width="12.109375" style="22" customWidth="1"/>
    <col min="4110" max="4110" width="15.109375" style="22" customWidth="1"/>
    <col min="4111" max="4111" width="20.44140625" style="22" customWidth="1"/>
    <col min="4112" max="4119" width="10.5546875" style="22"/>
    <col min="4120" max="4120" width="5.88671875" style="22" bestFit="1" customWidth="1"/>
    <col min="4121" max="4121" width="19.44140625" style="22" bestFit="1" customWidth="1"/>
    <col min="4122" max="4359" width="10.5546875" style="22"/>
    <col min="4360" max="4361" width="16.5546875" style="22" customWidth="1"/>
    <col min="4362" max="4362" width="20.109375" style="22" bestFit="1" customWidth="1"/>
    <col min="4363" max="4363" width="14.109375" style="22" bestFit="1" customWidth="1"/>
    <col min="4364" max="4364" width="14.5546875" style="22" customWidth="1"/>
    <col min="4365" max="4365" width="12.109375" style="22" customWidth="1"/>
    <col min="4366" max="4366" width="15.109375" style="22" customWidth="1"/>
    <col min="4367" max="4367" width="20.44140625" style="22" customWidth="1"/>
    <col min="4368" max="4375" width="10.5546875" style="22"/>
    <col min="4376" max="4376" width="5.88671875" style="22" bestFit="1" customWidth="1"/>
    <col min="4377" max="4377" width="19.44140625" style="22" bestFit="1" customWidth="1"/>
    <col min="4378" max="4615" width="10.5546875" style="22"/>
    <col min="4616" max="4617" width="16.5546875" style="22" customWidth="1"/>
    <col min="4618" max="4618" width="20.109375" style="22" bestFit="1" customWidth="1"/>
    <col min="4619" max="4619" width="14.109375" style="22" bestFit="1" customWidth="1"/>
    <col min="4620" max="4620" width="14.5546875" style="22" customWidth="1"/>
    <col min="4621" max="4621" width="12.109375" style="22" customWidth="1"/>
    <col min="4622" max="4622" width="15.109375" style="22" customWidth="1"/>
    <col min="4623" max="4623" width="20.44140625" style="22" customWidth="1"/>
    <col min="4624" max="4631" width="10.5546875" style="22"/>
    <col min="4632" max="4632" width="5.88671875" style="22" bestFit="1" customWidth="1"/>
    <col min="4633" max="4633" width="19.44140625" style="22" bestFit="1" customWidth="1"/>
    <col min="4634" max="4871" width="10.5546875" style="22"/>
    <col min="4872" max="4873" width="16.5546875" style="22" customWidth="1"/>
    <col min="4874" max="4874" width="20.109375" style="22" bestFit="1" customWidth="1"/>
    <col min="4875" max="4875" width="14.109375" style="22" bestFit="1" customWidth="1"/>
    <col min="4876" max="4876" width="14.5546875" style="22" customWidth="1"/>
    <col min="4877" max="4877" width="12.109375" style="22" customWidth="1"/>
    <col min="4878" max="4878" width="15.109375" style="22" customWidth="1"/>
    <col min="4879" max="4879" width="20.44140625" style="22" customWidth="1"/>
    <col min="4880" max="4887" width="10.5546875" style="22"/>
    <col min="4888" max="4888" width="5.88671875" style="22" bestFit="1" customWidth="1"/>
    <col min="4889" max="4889" width="19.44140625" style="22" bestFit="1" customWidth="1"/>
    <col min="4890" max="5127" width="10.5546875" style="22"/>
    <col min="5128" max="5129" width="16.5546875" style="22" customWidth="1"/>
    <col min="5130" max="5130" width="20.109375" style="22" bestFit="1" customWidth="1"/>
    <col min="5131" max="5131" width="14.109375" style="22" bestFit="1" customWidth="1"/>
    <col min="5132" max="5132" width="14.5546875" style="22" customWidth="1"/>
    <col min="5133" max="5133" width="12.109375" style="22" customWidth="1"/>
    <col min="5134" max="5134" width="15.109375" style="22" customWidth="1"/>
    <col min="5135" max="5135" width="20.44140625" style="22" customWidth="1"/>
    <col min="5136" max="5143" width="10.5546875" style="22"/>
    <col min="5144" max="5144" width="5.88671875" style="22" bestFit="1" customWidth="1"/>
    <col min="5145" max="5145" width="19.44140625" style="22" bestFit="1" customWidth="1"/>
    <col min="5146" max="5383" width="10.5546875" style="22"/>
    <col min="5384" max="5385" width="16.5546875" style="22" customWidth="1"/>
    <col min="5386" max="5386" width="20.109375" style="22" bestFit="1" customWidth="1"/>
    <col min="5387" max="5387" width="14.109375" style="22" bestFit="1" customWidth="1"/>
    <col min="5388" max="5388" width="14.5546875" style="22" customWidth="1"/>
    <col min="5389" max="5389" width="12.109375" style="22" customWidth="1"/>
    <col min="5390" max="5390" width="15.109375" style="22" customWidth="1"/>
    <col min="5391" max="5391" width="20.44140625" style="22" customWidth="1"/>
    <col min="5392" max="5399" width="10.5546875" style="22"/>
    <col min="5400" max="5400" width="5.88671875" style="22" bestFit="1" customWidth="1"/>
    <col min="5401" max="5401" width="19.44140625" style="22" bestFit="1" customWidth="1"/>
    <col min="5402" max="5639" width="10.5546875" style="22"/>
    <col min="5640" max="5641" width="16.5546875" style="22" customWidth="1"/>
    <col min="5642" max="5642" width="20.109375" style="22" bestFit="1" customWidth="1"/>
    <col min="5643" max="5643" width="14.109375" style="22" bestFit="1" customWidth="1"/>
    <col min="5644" max="5644" width="14.5546875" style="22" customWidth="1"/>
    <col min="5645" max="5645" width="12.109375" style="22" customWidth="1"/>
    <col min="5646" max="5646" width="15.109375" style="22" customWidth="1"/>
    <col min="5647" max="5647" width="20.44140625" style="22" customWidth="1"/>
    <col min="5648" max="5655" width="10.5546875" style="22"/>
    <col min="5656" max="5656" width="5.88671875" style="22" bestFit="1" customWidth="1"/>
    <col min="5657" max="5657" width="19.44140625" style="22" bestFit="1" customWidth="1"/>
    <col min="5658" max="5895" width="10.5546875" style="22"/>
    <col min="5896" max="5897" width="16.5546875" style="22" customWidth="1"/>
    <col min="5898" max="5898" width="20.109375" style="22" bestFit="1" customWidth="1"/>
    <col min="5899" max="5899" width="14.109375" style="22" bestFit="1" customWidth="1"/>
    <col min="5900" max="5900" width="14.5546875" style="22" customWidth="1"/>
    <col min="5901" max="5901" width="12.109375" style="22" customWidth="1"/>
    <col min="5902" max="5902" width="15.109375" style="22" customWidth="1"/>
    <col min="5903" max="5903" width="20.44140625" style="22" customWidth="1"/>
    <col min="5904" max="5911" width="10.5546875" style="22"/>
    <col min="5912" max="5912" width="5.88671875" style="22" bestFit="1" customWidth="1"/>
    <col min="5913" max="5913" width="19.44140625" style="22" bestFit="1" customWidth="1"/>
    <col min="5914" max="6151" width="10.5546875" style="22"/>
    <col min="6152" max="6153" width="16.5546875" style="22" customWidth="1"/>
    <col min="6154" max="6154" width="20.109375" style="22" bestFit="1" customWidth="1"/>
    <col min="6155" max="6155" width="14.109375" style="22" bestFit="1" customWidth="1"/>
    <col min="6156" max="6156" width="14.5546875" style="22" customWidth="1"/>
    <col min="6157" max="6157" width="12.109375" style="22" customWidth="1"/>
    <col min="6158" max="6158" width="15.109375" style="22" customWidth="1"/>
    <col min="6159" max="6159" width="20.44140625" style="22" customWidth="1"/>
    <col min="6160" max="6167" width="10.5546875" style="22"/>
    <col min="6168" max="6168" width="5.88671875" style="22" bestFit="1" customWidth="1"/>
    <col min="6169" max="6169" width="19.44140625" style="22" bestFit="1" customWidth="1"/>
    <col min="6170" max="6407" width="10.5546875" style="22"/>
    <col min="6408" max="6409" width="16.5546875" style="22" customWidth="1"/>
    <col min="6410" max="6410" width="20.109375" style="22" bestFit="1" customWidth="1"/>
    <col min="6411" max="6411" width="14.109375" style="22" bestFit="1" customWidth="1"/>
    <col min="6412" max="6412" width="14.5546875" style="22" customWidth="1"/>
    <col min="6413" max="6413" width="12.109375" style="22" customWidth="1"/>
    <col min="6414" max="6414" width="15.109375" style="22" customWidth="1"/>
    <col min="6415" max="6415" width="20.44140625" style="22" customWidth="1"/>
    <col min="6416" max="6423" width="10.5546875" style="22"/>
    <col min="6424" max="6424" width="5.88671875" style="22" bestFit="1" customWidth="1"/>
    <col min="6425" max="6425" width="19.44140625" style="22" bestFit="1" customWidth="1"/>
    <col min="6426" max="6663" width="10.5546875" style="22"/>
    <col min="6664" max="6665" width="16.5546875" style="22" customWidth="1"/>
    <col min="6666" max="6666" width="20.109375" style="22" bestFit="1" customWidth="1"/>
    <col min="6667" max="6667" width="14.109375" style="22" bestFit="1" customWidth="1"/>
    <col min="6668" max="6668" width="14.5546875" style="22" customWidth="1"/>
    <col min="6669" max="6669" width="12.109375" style="22" customWidth="1"/>
    <col min="6670" max="6670" width="15.109375" style="22" customWidth="1"/>
    <col min="6671" max="6671" width="20.44140625" style="22" customWidth="1"/>
    <col min="6672" max="6679" width="10.5546875" style="22"/>
    <col min="6680" max="6680" width="5.88671875" style="22" bestFit="1" customWidth="1"/>
    <col min="6681" max="6681" width="19.44140625" style="22" bestFit="1" customWidth="1"/>
    <col min="6682" max="6919" width="10.5546875" style="22"/>
    <col min="6920" max="6921" width="16.5546875" style="22" customWidth="1"/>
    <col min="6922" max="6922" width="20.109375" style="22" bestFit="1" customWidth="1"/>
    <col min="6923" max="6923" width="14.109375" style="22" bestFit="1" customWidth="1"/>
    <col min="6924" max="6924" width="14.5546875" style="22" customWidth="1"/>
    <col min="6925" max="6925" width="12.109375" style="22" customWidth="1"/>
    <col min="6926" max="6926" width="15.109375" style="22" customWidth="1"/>
    <col min="6927" max="6927" width="20.44140625" style="22" customWidth="1"/>
    <col min="6928" max="6935" width="10.5546875" style="22"/>
    <col min="6936" max="6936" width="5.88671875" style="22" bestFit="1" customWidth="1"/>
    <col min="6937" max="6937" width="19.44140625" style="22" bestFit="1" customWidth="1"/>
    <col min="6938" max="7175" width="10.5546875" style="22"/>
    <col min="7176" max="7177" width="16.5546875" style="22" customWidth="1"/>
    <col min="7178" max="7178" width="20.109375" style="22" bestFit="1" customWidth="1"/>
    <col min="7179" max="7179" width="14.109375" style="22" bestFit="1" customWidth="1"/>
    <col min="7180" max="7180" width="14.5546875" style="22" customWidth="1"/>
    <col min="7181" max="7181" width="12.109375" style="22" customWidth="1"/>
    <col min="7182" max="7182" width="15.109375" style="22" customWidth="1"/>
    <col min="7183" max="7183" width="20.44140625" style="22" customWidth="1"/>
    <col min="7184" max="7191" width="10.5546875" style="22"/>
    <col min="7192" max="7192" width="5.88671875" style="22" bestFit="1" customWidth="1"/>
    <col min="7193" max="7193" width="19.44140625" style="22" bestFit="1" customWidth="1"/>
    <col min="7194" max="7431" width="10.5546875" style="22"/>
    <col min="7432" max="7433" width="16.5546875" style="22" customWidth="1"/>
    <col min="7434" max="7434" width="20.109375" style="22" bestFit="1" customWidth="1"/>
    <col min="7435" max="7435" width="14.109375" style="22" bestFit="1" customWidth="1"/>
    <col min="7436" max="7436" width="14.5546875" style="22" customWidth="1"/>
    <col min="7437" max="7437" width="12.109375" style="22" customWidth="1"/>
    <col min="7438" max="7438" width="15.109375" style="22" customWidth="1"/>
    <col min="7439" max="7439" width="20.44140625" style="22" customWidth="1"/>
    <col min="7440" max="7447" width="10.5546875" style="22"/>
    <col min="7448" max="7448" width="5.88671875" style="22" bestFit="1" customWidth="1"/>
    <col min="7449" max="7449" width="19.44140625" style="22" bestFit="1" customWidth="1"/>
    <col min="7450" max="7687" width="10.5546875" style="22"/>
    <col min="7688" max="7689" width="16.5546875" style="22" customWidth="1"/>
    <col min="7690" max="7690" width="20.109375" style="22" bestFit="1" customWidth="1"/>
    <col min="7691" max="7691" width="14.109375" style="22" bestFit="1" customWidth="1"/>
    <col min="7692" max="7692" width="14.5546875" style="22" customWidth="1"/>
    <col min="7693" max="7693" width="12.109375" style="22" customWidth="1"/>
    <col min="7694" max="7694" width="15.109375" style="22" customWidth="1"/>
    <col min="7695" max="7695" width="20.44140625" style="22" customWidth="1"/>
    <col min="7696" max="7703" width="10.5546875" style="22"/>
    <col min="7704" max="7704" width="5.88671875" style="22" bestFit="1" customWidth="1"/>
    <col min="7705" max="7705" width="19.44140625" style="22" bestFit="1" customWidth="1"/>
    <col min="7706" max="7943" width="10.5546875" style="22"/>
    <col min="7944" max="7945" width="16.5546875" style="22" customWidth="1"/>
    <col min="7946" max="7946" width="20.109375" style="22" bestFit="1" customWidth="1"/>
    <col min="7947" max="7947" width="14.109375" style="22" bestFit="1" customWidth="1"/>
    <col min="7948" max="7948" width="14.5546875" style="22" customWidth="1"/>
    <col min="7949" max="7949" width="12.109375" style="22" customWidth="1"/>
    <col min="7950" max="7950" width="15.109375" style="22" customWidth="1"/>
    <col min="7951" max="7951" width="20.44140625" style="22" customWidth="1"/>
    <col min="7952" max="7959" width="10.5546875" style="22"/>
    <col min="7960" max="7960" width="5.88671875" style="22" bestFit="1" customWidth="1"/>
    <col min="7961" max="7961" width="19.44140625" style="22" bestFit="1" customWidth="1"/>
    <col min="7962" max="8199" width="10.5546875" style="22"/>
    <col min="8200" max="8201" width="16.5546875" style="22" customWidth="1"/>
    <col min="8202" max="8202" width="20.109375" style="22" bestFit="1" customWidth="1"/>
    <col min="8203" max="8203" width="14.109375" style="22" bestFit="1" customWidth="1"/>
    <col min="8204" max="8204" width="14.5546875" style="22" customWidth="1"/>
    <col min="8205" max="8205" width="12.109375" style="22" customWidth="1"/>
    <col min="8206" max="8206" width="15.109375" style="22" customWidth="1"/>
    <col min="8207" max="8207" width="20.44140625" style="22" customWidth="1"/>
    <col min="8208" max="8215" width="10.5546875" style="22"/>
    <col min="8216" max="8216" width="5.88671875" style="22" bestFit="1" customWidth="1"/>
    <col min="8217" max="8217" width="19.44140625" style="22" bestFit="1" customWidth="1"/>
    <col min="8218" max="8455" width="10.5546875" style="22"/>
    <col min="8456" max="8457" width="16.5546875" style="22" customWidth="1"/>
    <col min="8458" max="8458" width="20.109375" style="22" bestFit="1" customWidth="1"/>
    <col min="8459" max="8459" width="14.109375" style="22" bestFit="1" customWidth="1"/>
    <col min="8460" max="8460" width="14.5546875" style="22" customWidth="1"/>
    <col min="8461" max="8461" width="12.109375" style="22" customWidth="1"/>
    <col min="8462" max="8462" width="15.109375" style="22" customWidth="1"/>
    <col min="8463" max="8463" width="20.44140625" style="22" customWidth="1"/>
    <col min="8464" max="8471" width="10.5546875" style="22"/>
    <col min="8472" max="8472" width="5.88671875" style="22" bestFit="1" customWidth="1"/>
    <col min="8473" max="8473" width="19.44140625" style="22" bestFit="1" customWidth="1"/>
    <col min="8474" max="8711" width="10.5546875" style="22"/>
    <col min="8712" max="8713" width="16.5546875" style="22" customWidth="1"/>
    <col min="8714" max="8714" width="20.109375" style="22" bestFit="1" customWidth="1"/>
    <col min="8715" max="8715" width="14.109375" style="22" bestFit="1" customWidth="1"/>
    <col min="8716" max="8716" width="14.5546875" style="22" customWidth="1"/>
    <col min="8717" max="8717" width="12.109375" style="22" customWidth="1"/>
    <col min="8718" max="8718" width="15.109375" style="22" customWidth="1"/>
    <col min="8719" max="8719" width="20.44140625" style="22" customWidth="1"/>
    <col min="8720" max="8727" width="10.5546875" style="22"/>
    <col min="8728" max="8728" width="5.88671875" style="22" bestFit="1" customWidth="1"/>
    <col min="8729" max="8729" width="19.44140625" style="22" bestFit="1" customWidth="1"/>
    <col min="8730" max="8967" width="10.5546875" style="22"/>
    <col min="8968" max="8969" width="16.5546875" style="22" customWidth="1"/>
    <col min="8970" max="8970" width="20.109375" style="22" bestFit="1" customWidth="1"/>
    <col min="8971" max="8971" width="14.109375" style="22" bestFit="1" customWidth="1"/>
    <col min="8972" max="8972" width="14.5546875" style="22" customWidth="1"/>
    <col min="8973" max="8973" width="12.109375" style="22" customWidth="1"/>
    <col min="8974" max="8974" width="15.109375" style="22" customWidth="1"/>
    <col min="8975" max="8975" width="20.44140625" style="22" customWidth="1"/>
    <col min="8976" max="8983" width="10.5546875" style="22"/>
    <col min="8984" max="8984" width="5.88671875" style="22" bestFit="1" customWidth="1"/>
    <col min="8985" max="8985" width="19.44140625" style="22" bestFit="1" customWidth="1"/>
    <col min="8986" max="9223" width="10.5546875" style="22"/>
    <col min="9224" max="9225" width="16.5546875" style="22" customWidth="1"/>
    <col min="9226" max="9226" width="20.109375" style="22" bestFit="1" customWidth="1"/>
    <col min="9227" max="9227" width="14.109375" style="22" bestFit="1" customWidth="1"/>
    <col min="9228" max="9228" width="14.5546875" style="22" customWidth="1"/>
    <col min="9229" max="9229" width="12.109375" style="22" customWidth="1"/>
    <col min="9230" max="9230" width="15.109375" style="22" customWidth="1"/>
    <col min="9231" max="9231" width="20.44140625" style="22" customWidth="1"/>
    <col min="9232" max="9239" width="10.5546875" style="22"/>
    <col min="9240" max="9240" width="5.88671875" style="22" bestFit="1" customWidth="1"/>
    <col min="9241" max="9241" width="19.44140625" style="22" bestFit="1" customWidth="1"/>
    <col min="9242" max="9479" width="10.5546875" style="22"/>
    <col min="9480" max="9481" width="16.5546875" style="22" customWidth="1"/>
    <col min="9482" max="9482" width="20.109375" style="22" bestFit="1" customWidth="1"/>
    <col min="9483" max="9483" width="14.109375" style="22" bestFit="1" customWidth="1"/>
    <col min="9484" max="9484" width="14.5546875" style="22" customWidth="1"/>
    <col min="9485" max="9485" width="12.109375" style="22" customWidth="1"/>
    <col min="9486" max="9486" width="15.109375" style="22" customWidth="1"/>
    <col min="9487" max="9487" width="20.44140625" style="22" customWidth="1"/>
    <col min="9488" max="9495" width="10.5546875" style="22"/>
    <col min="9496" max="9496" width="5.88671875" style="22" bestFit="1" customWidth="1"/>
    <col min="9497" max="9497" width="19.44140625" style="22" bestFit="1" customWidth="1"/>
    <col min="9498" max="9735" width="10.5546875" style="22"/>
    <col min="9736" max="9737" width="16.5546875" style="22" customWidth="1"/>
    <col min="9738" max="9738" width="20.109375" style="22" bestFit="1" customWidth="1"/>
    <col min="9739" max="9739" width="14.109375" style="22" bestFit="1" customWidth="1"/>
    <col min="9740" max="9740" width="14.5546875" style="22" customWidth="1"/>
    <col min="9741" max="9741" width="12.109375" style="22" customWidth="1"/>
    <col min="9742" max="9742" width="15.109375" style="22" customWidth="1"/>
    <col min="9743" max="9743" width="20.44140625" style="22" customWidth="1"/>
    <col min="9744" max="9751" width="10.5546875" style="22"/>
    <col min="9752" max="9752" width="5.88671875" style="22" bestFit="1" customWidth="1"/>
    <col min="9753" max="9753" width="19.44140625" style="22" bestFit="1" customWidth="1"/>
    <col min="9754" max="9991" width="10.5546875" style="22"/>
    <col min="9992" max="9993" width="16.5546875" style="22" customWidth="1"/>
    <col min="9994" max="9994" width="20.109375" style="22" bestFit="1" customWidth="1"/>
    <col min="9995" max="9995" width="14.109375" style="22" bestFit="1" customWidth="1"/>
    <col min="9996" max="9996" width="14.5546875" style="22" customWidth="1"/>
    <col min="9997" max="9997" width="12.109375" style="22" customWidth="1"/>
    <col min="9998" max="9998" width="15.109375" style="22" customWidth="1"/>
    <col min="9999" max="9999" width="20.44140625" style="22" customWidth="1"/>
    <col min="10000" max="10007" width="10.5546875" style="22"/>
    <col min="10008" max="10008" width="5.88671875" style="22" bestFit="1" customWidth="1"/>
    <col min="10009" max="10009" width="19.44140625" style="22" bestFit="1" customWidth="1"/>
    <col min="10010" max="10247" width="10.5546875" style="22"/>
    <col min="10248" max="10249" width="16.5546875" style="22" customWidth="1"/>
    <col min="10250" max="10250" width="20.109375" style="22" bestFit="1" customWidth="1"/>
    <col min="10251" max="10251" width="14.109375" style="22" bestFit="1" customWidth="1"/>
    <col min="10252" max="10252" width="14.5546875" style="22" customWidth="1"/>
    <col min="10253" max="10253" width="12.109375" style="22" customWidth="1"/>
    <col min="10254" max="10254" width="15.109375" style="22" customWidth="1"/>
    <col min="10255" max="10255" width="20.44140625" style="22" customWidth="1"/>
    <col min="10256" max="10263" width="10.5546875" style="22"/>
    <col min="10264" max="10264" width="5.88671875" style="22" bestFit="1" customWidth="1"/>
    <col min="10265" max="10265" width="19.44140625" style="22" bestFit="1" customWidth="1"/>
    <col min="10266" max="10503" width="10.5546875" style="22"/>
    <col min="10504" max="10505" width="16.5546875" style="22" customWidth="1"/>
    <col min="10506" max="10506" width="20.109375" style="22" bestFit="1" customWidth="1"/>
    <col min="10507" max="10507" width="14.109375" style="22" bestFit="1" customWidth="1"/>
    <col min="10508" max="10508" width="14.5546875" style="22" customWidth="1"/>
    <col min="10509" max="10509" width="12.109375" style="22" customWidth="1"/>
    <col min="10510" max="10510" width="15.109375" style="22" customWidth="1"/>
    <col min="10511" max="10511" width="20.44140625" style="22" customWidth="1"/>
    <col min="10512" max="10519" width="10.5546875" style="22"/>
    <col min="10520" max="10520" width="5.88671875" style="22" bestFit="1" customWidth="1"/>
    <col min="10521" max="10521" width="19.44140625" style="22" bestFit="1" customWidth="1"/>
    <col min="10522" max="10759" width="10.5546875" style="22"/>
    <col min="10760" max="10761" width="16.5546875" style="22" customWidth="1"/>
    <col min="10762" max="10762" width="20.109375" style="22" bestFit="1" customWidth="1"/>
    <col min="10763" max="10763" width="14.109375" style="22" bestFit="1" customWidth="1"/>
    <col min="10764" max="10764" width="14.5546875" style="22" customWidth="1"/>
    <col min="10765" max="10765" width="12.109375" style="22" customWidth="1"/>
    <col min="10766" max="10766" width="15.109375" style="22" customWidth="1"/>
    <col min="10767" max="10767" width="20.44140625" style="22" customWidth="1"/>
    <col min="10768" max="10775" width="10.5546875" style="22"/>
    <col min="10776" max="10776" width="5.88671875" style="22" bestFit="1" customWidth="1"/>
    <col min="10777" max="10777" width="19.44140625" style="22" bestFit="1" customWidth="1"/>
    <col min="10778" max="11015" width="10.5546875" style="22"/>
    <col min="11016" max="11017" width="16.5546875" style="22" customWidth="1"/>
    <col min="11018" max="11018" width="20.109375" style="22" bestFit="1" customWidth="1"/>
    <col min="11019" max="11019" width="14.109375" style="22" bestFit="1" customWidth="1"/>
    <col min="11020" max="11020" width="14.5546875" style="22" customWidth="1"/>
    <col min="11021" max="11021" width="12.109375" style="22" customWidth="1"/>
    <col min="11022" max="11022" width="15.109375" style="22" customWidth="1"/>
    <col min="11023" max="11023" width="20.44140625" style="22" customWidth="1"/>
    <col min="11024" max="11031" width="10.5546875" style="22"/>
    <col min="11032" max="11032" width="5.88671875" style="22" bestFit="1" customWidth="1"/>
    <col min="11033" max="11033" width="19.44140625" style="22" bestFit="1" customWidth="1"/>
    <col min="11034" max="11271" width="10.5546875" style="22"/>
    <col min="11272" max="11273" width="16.5546875" style="22" customWidth="1"/>
    <col min="11274" max="11274" width="20.109375" style="22" bestFit="1" customWidth="1"/>
    <col min="11275" max="11275" width="14.109375" style="22" bestFit="1" customWidth="1"/>
    <col min="11276" max="11276" width="14.5546875" style="22" customWidth="1"/>
    <col min="11277" max="11277" width="12.109375" style="22" customWidth="1"/>
    <col min="11278" max="11278" width="15.109375" style="22" customWidth="1"/>
    <col min="11279" max="11279" width="20.44140625" style="22" customWidth="1"/>
    <col min="11280" max="11287" width="10.5546875" style="22"/>
    <col min="11288" max="11288" width="5.88671875" style="22" bestFit="1" customWidth="1"/>
    <col min="11289" max="11289" width="19.44140625" style="22" bestFit="1" customWidth="1"/>
    <col min="11290" max="11527" width="10.5546875" style="22"/>
    <col min="11528" max="11529" width="16.5546875" style="22" customWidth="1"/>
    <col min="11530" max="11530" width="20.109375" style="22" bestFit="1" customWidth="1"/>
    <col min="11531" max="11531" width="14.109375" style="22" bestFit="1" customWidth="1"/>
    <col min="11532" max="11532" width="14.5546875" style="22" customWidth="1"/>
    <col min="11533" max="11533" width="12.109375" style="22" customWidth="1"/>
    <col min="11534" max="11534" width="15.109375" style="22" customWidth="1"/>
    <col min="11535" max="11535" width="20.44140625" style="22" customWidth="1"/>
    <col min="11536" max="11543" width="10.5546875" style="22"/>
    <col min="11544" max="11544" width="5.88671875" style="22" bestFit="1" customWidth="1"/>
    <col min="11545" max="11545" width="19.44140625" style="22" bestFit="1" customWidth="1"/>
    <col min="11546" max="11783" width="10.5546875" style="22"/>
    <col min="11784" max="11785" width="16.5546875" style="22" customWidth="1"/>
    <col min="11786" max="11786" width="20.109375" style="22" bestFit="1" customWidth="1"/>
    <col min="11787" max="11787" width="14.109375" style="22" bestFit="1" customWidth="1"/>
    <col min="11788" max="11788" width="14.5546875" style="22" customWidth="1"/>
    <col min="11789" max="11789" width="12.109375" style="22" customWidth="1"/>
    <col min="11790" max="11790" width="15.109375" style="22" customWidth="1"/>
    <col min="11791" max="11791" width="20.44140625" style="22" customWidth="1"/>
    <col min="11792" max="11799" width="10.5546875" style="22"/>
    <col min="11800" max="11800" width="5.88671875" style="22" bestFit="1" customWidth="1"/>
    <col min="11801" max="11801" width="19.44140625" style="22" bestFit="1" customWidth="1"/>
    <col min="11802" max="12039" width="10.5546875" style="22"/>
    <col min="12040" max="12041" width="16.5546875" style="22" customWidth="1"/>
    <col min="12042" max="12042" width="20.109375" style="22" bestFit="1" customWidth="1"/>
    <col min="12043" max="12043" width="14.109375" style="22" bestFit="1" customWidth="1"/>
    <col min="12044" max="12044" width="14.5546875" style="22" customWidth="1"/>
    <col min="12045" max="12045" width="12.109375" style="22" customWidth="1"/>
    <col min="12046" max="12046" width="15.109375" style="22" customWidth="1"/>
    <col min="12047" max="12047" width="20.44140625" style="22" customWidth="1"/>
    <col min="12048" max="12055" width="10.5546875" style="22"/>
    <col min="12056" max="12056" width="5.88671875" style="22" bestFit="1" customWidth="1"/>
    <col min="12057" max="12057" width="19.44140625" style="22" bestFit="1" customWidth="1"/>
    <col min="12058" max="12295" width="10.5546875" style="22"/>
    <col min="12296" max="12297" width="16.5546875" style="22" customWidth="1"/>
    <col min="12298" max="12298" width="20.109375" style="22" bestFit="1" customWidth="1"/>
    <col min="12299" max="12299" width="14.109375" style="22" bestFit="1" customWidth="1"/>
    <col min="12300" max="12300" width="14.5546875" style="22" customWidth="1"/>
    <col min="12301" max="12301" width="12.109375" style="22" customWidth="1"/>
    <col min="12302" max="12302" width="15.109375" style="22" customWidth="1"/>
    <col min="12303" max="12303" width="20.44140625" style="22" customWidth="1"/>
    <col min="12304" max="12311" width="10.5546875" style="22"/>
    <col min="12312" max="12312" width="5.88671875" style="22" bestFit="1" customWidth="1"/>
    <col min="12313" max="12313" width="19.44140625" style="22" bestFit="1" customWidth="1"/>
    <col min="12314" max="12551" width="10.5546875" style="22"/>
    <col min="12552" max="12553" width="16.5546875" style="22" customWidth="1"/>
    <col min="12554" max="12554" width="20.109375" style="22" bestFit="1" customWidth="1"/>
    <col min="12555" max="12555" width="14.109375" style="22" bestFit="1" customWidth="1"/>
    <col min="12556" max="12556" width="14.5546875" style="22" customWidth="1"/>
    <col min="12557" max="12557" width="12.109375" style="22" customWidth="1"/>
    <col min="12558" max="12558" width="15.109375" style="22" customWidth="1"/>
    <col min="12559" max="12559" width="20.44140625" style="22" customWidth="1"/>
    <col min="12560" max="12567" width="10.5546875" style="22"/>
    <col min="12568" max="12568" width="5.88671875" style="22" bestFit="1" customWidth="1"/>
    <col min="12569" max="12569" width="19.44140625" style="22" bestFit="1" customWidth="1"/>
    <col min="12570" max="12807" width="10.5546875" style="22"/>
    <col min="12808" max="12809" width="16.5546875" style="22" customWidth="1"/>
    <col min="12810" max="12810" width="20.109375" style="22" bestFit="1" customWidth="1"/>
    <col min="12811" max="12811" width="14.109375" style="22" bestFit="1" customWidth="1"/>
    <col min="12812" max="12812" width="14.5546875" style="22" customWidth="1"/>
    <col min="12813" max="12813" width="12.109375" style="22" customWidth="1"/>
    <col min="12814" max="12814" width="15.109375" style="22" customWidth="1"/>
    <col min="12815" max="12815" width="20.44140625" style="22" customWidth="1"/>
    <col min="12816" max="12823" width="10.5546875" style="22"/>
    <col min="12824" max="12824" width="5.88671875" style="22" bestFit="1" customWidth="1"/>
    <col min="12825" max="12825" width="19.44140625" style="22" bestFit="1" customWidth="1"/>
    <col min="12826" max="13063" width="10.5546875" style="22"/>
    <col min="13064" max="13065" width="16.5546875" style="22" customWidth="1"/>
    <col min="13066" max="13066" width="20.109375" style="22" bestFit="1" customWidth="1"/>
    <col min="13067" max="13067" width="14.109375" style="22" bestFit="1" customWidth="1"/>
    <col min="13068" max="13068" width="14.5546875" style="22" customWidth="1"/>
    <col min="13069" max="13069" width="12.109375" style="22" customWidth="1"/>
    <col min="13070" max="13070" width="15.109375" style="22" customWidth="1"/>
    <col min="13071" max="13071" width="20.44140625" style="22" customWidth="1"/>
    <col min="13072" max="13079" width="10.5546875" style="22"/>
    <col min="13080" max="13080" width="5.88671875" style="22" bestFit="1" customWidth="1"/>
    <col min="13081" max="13081" width="19.44140625" style="22" bestFit="1" customWidth="1"/>
    <col min="13082" max="13319" width="10.5546875" style="22"/>
    <col min="13320" max="13321" width="16.5546875" style="22" customWidth="1"/>
    <col min="13322" max="13322" width="20.109375" style="22" bestFit="1" customWidth="1"/>
    <col min="13323" max="13323" width="14.109375" style="22" bestFit="1" customWidth="1"/>
    <col min="13324" max="13324" width="14.5546875" style="22" customWidth="1"/>
    <col min="13325" max="13325" width="12.109375" style="22" customWidth="1"/>
    <col min="13326" max="13326" width="15.109375" style="22" customWidth="1"/>
    <col min="13327" max="13327" width="20.44140625" style="22" customWidth="1"/>
    <col min="13328" max="13335" width="10.5546875" style="22"/>
    <col min="13336" max="13336" width="5.88671875" style="22" bestFit="1" customWidth="1"/>
    <col min="13337" max="13337" width="19.44140625" style="22" bestFit="1" customWidth="1"/>
    <col min="13338" max="13575" width="10.5546875" style="22"/>
    <col min="13576" max="13577" width="16.5546875" style="22" customWidth="1"/>
    <col min="13578" max="13578" width="20.109375" style="22" bestFit="1" customWidth="1"/>
    <col min="13579" max="13579" width="14.109375" style="22" bestFit="1" customWidth="1"/>
    <col min="13580" max="13580" width="14.5546875" style="22" customWidth="1"/>
    <col min="13581" max="13581" width="12.109375" style="22" customWidth="1"/>
    <col min="13582" max="13582" width="15.109375" style="22" customWidth="1"/>
    <col min="13583" max="13583" width="20.44140625" style="22" customWidth="1"/>
    <col min="13584" max="13591" width="10.5546875" style="22"/>
    <col min="13592" max="13592" width="5.88671875" style="22" bestFit="1" customWidth="1"/>
    <col min="13593" max="13593" width="19.44140625" style="22" bestFit="1" customWidth="1"/>
    <col min="13594" max="13831" width="10.5546875" style="22"/>
    <col min="13832" max="13833" width="16.5546875" style="22" customWidth="1"/>
    <col min="13834" max="13834" width="20.109375" style="22" bestFit="1" customWidth="1"/>
    <col min="13835" max="13835" width="14.109375" style="22" bestFit="1" customWidth="1"/>
    <col min="13836" max="13836" width="14.5546875" style="22" customWidth="1"/>
    <col min="13837" max="13837" width="12.109375" style="22" customWidth="1"/>
    <col min="13838" max="13838" width="15.109375" style="22" customWidth="1"/>
    <col min="13839" max="13839" width="20.44140625" style="22" customWidth="1"/>
    <col min="13840" max="13847" width="10.5546875" style="22"/>
    <col min="13848" max="13848" width="5.88671875" style="22" bestFit="1" customWidth="1"/>
    <col min="13849" max="13849" width="19.44140625" style="22" bestFit="1" customWidth="1"/>
    <col min="13850" max="14087" width="10.5546875" style="22"/>
    <col min="14088" max="14089" width="16.5546875" style="22" customWidth="1"/>
    <col min="14090" max="14090" width="20.109375" style="22" bestFit="1" customWidth="1"/>
    <col min="14091" max="14091" width="14.109375" style="22" bestFit="1" customWidth="1"/>
    <col min="14092" max="14092" width="14.5546875" style="22" customWidth="1"/>
    <col min="14093" max="14093" width="12.109375" style="22" customWidth="1"/>
    <col min="14094" max="14094" width="15.109375" style="22" customWidth="1"/>
    <col min="14095" max="14095" width="20.44140625" style="22" customWidth="1"/>
    <col min="14096" max="14103" width="10.5546875" style="22"/>
    <col min="14104" max="14104" width="5.88671875" style="22" bestFit="1" customWidth="1"/>
    <col min="14105" max="14105" width="19.44140625" style="22" bestFit="1" customWidth="1"/>
    <col min="14106" max="14343" width="10.5546875" style="22"/>
    <col min="14344" max="14345" width="16.5546875" style="22" customWidth="1"/>
    <col min="14346" max="14346" width="20.109375" style="22" bestFit="1" customWidth="1"/>
    <col min="14347" max="14347" width="14.109375" style="22" bestFit="1" customWidth="1"/>
    <col min="14348" max="14348" width="14.5546875" style="22" customWidth="1"/>
    <col min="14349" max="14349" width="12.109375" style="22" customWidth="1"/>
    <col min="14350" max="14350" width="15.109375" style="22" customWidth="1"/>
    <col min="14351" max="14351" width="20.44140625" style="22" customWidth="1"/>
    <col min="14352" max="14359" width="10.5546875" style="22"/>
    <col min="14360" max="14360" width="5.88671875" style="22" bestFit="1" customWidth="1"/>
    <col min="14361" max="14361" width="19.44140625" style="22" bestFit="1" customWidth="1"/>
    <col min="14362" max="14599" width="10.5546875" style="22"/>
    <col min="14600" max="14601" width="16.5546875" style="22" customWidth="1"/>
    <col min="14602" max="14602" width="20.109375" style="22" bestFit="1" customWidth="1"/>
    <col min="14603" max="14603" width="14.109375" style="22" bestFit="1" customWidth="1"/>
    <col min="14604" max="14604" width="14.5546875" style="22" customWidth="1"/>
    <col min="14605" max="14605" width="12.109375" style="22" customWidth="1"/>
    <col min="14606" max="14606" width="15.109375" style="22" customWidth="1"/>
    <col min="14607" max="14607" width="20.44140625" style="22" customWidth="1"/>
    <col min="14608" max="14615" width="10.5546875" style="22"/>
    <col min="14616" max="14616" width="5.88671875" style="22" bestFit="1" customWidth="1"/>
    <col min="14617" max="14617" width="19.44140625" style="22" bestFit="1" customWidth="1"/>
    <col min="14618" max="14855" width="10.5546875" style="22"/>
    <col min="14856" max="14857" width="16.5546875" style="22" customWidth="1"/>
    <col min="14858" max="14858" width="20.109375" style="22" bestFit="1" customWidth="1"/>
    <col min="14859" max="14859" width="14.109375" style="22" bestFit="1" customWidth="1"/>
    <col min="14860" max="14860" width="14.5546875" style="22" customWidth="1"/>
    <col min="14861" max="14861" width="12.109375" style="22" customWidth="1"/>
    <col min="14862" max="14862" width="15.109375" style="22" customWidth="1"/>
    <col min="14863" max="14863" width="20.44140625" style="22" customWidth="1"/>
    <col min="14864" max="14871" width="10.5546875" style="22"/>
    <col min="14872" max="14872" width="5.88671875" style="22" bestFit="1" customWidth="1"/>
    <col min="14873" max="14873" width="19.44140625" style="22" bestFit="1" customWidth="1"/>
    <col min="14874" max="15111" width="10.5546875" style="22"/>
    <col min="15112" max="15113" width="16.5546875" style="22" customWidth="1"/>
    <col min="15114" max="15114" width="20.109375" style="22" bestFit="1" customWidth="1"/>
    <col min="15115" max="15115" width="14.109375" style="22" bestFit="1" customWidth="1"/>
    <col min="15116" max="15116" width="14.5546875" style="22" customWidth="1"/>
    <col min="15117" max="15117" width="12.109375" style="22" customWidth="1"/>
    <col min="15118" max="15118" width="15.109375" style="22" customWidth="1"/>
    <col min="15119" max="15119" width="20.44140625" style="22" customWidth="1"/>
    <col min="15120" max="15127" width="10.5546875" style="22"/>
    <col min="15128" max="15128" width="5.88671875" style="22" bestFit="1" customWidth="1"/>
    <col min="15129" max="15129" width="19.44140625" style="22" bestFit="1" customWidth="1"/>
    <col min="15130" max="15367" width="10.5546875" style="22"/>
    <col min="15368" max="15369" width="16.5546875" style="22" customWidth="1"/>
    <col min="15370" max="15370" width="20.109375" style="22" bestFit="1" customWidth="1"/>
    <col min="15371" max="15371" width="14.109375" style="22" bestFit="1" customWidth="1"/>
    <col min="15372" max="15372" width="14.5546875" style="22" customWidth="1"/>
    <col min="15373" max="15373" width="12.109375" style="22" customWidth="1"/>
    <col min="15374" max="15374" width="15.109375" style="22" customWidth="1"/>
    <col min="15375" max="15375" width="20.44140625" style="22" customWidth="1"/>
    <col min="15376" max="15383" width="10.5546875" style="22"/>
    <col min="15384" max="15384" width="5.88671875" style="22" bestFit="1" customWidth="1"/>
    <col min="15385" max="15385" width="19.44140625" style="22" bestFit="1" customWidth="1"/>
    <col min="15386" max="15623" width="10.5546875" style="22"/>
    <col min="15624" max="15625" width="16.5546875" style="22" customWidth="1"/>
    <col min="15626" max="15626" width="20.109375" style="22" bestFit="1" customWidth="1"/>
    <col min="15627" max="15627" width="14.109375" style="22" bestFit="1" customWidth="1"/>
    <col min="15628" max="15628" width="14.5546875" style="22" customWidth="1"/>
    <col min="15629" max="15629" width="12.109375" style="22" customWidth="1"/>
    <col min="15630" max="15630" width="15.109375" style="22" customWidth="1"/>
    <col min="15631" max="15631" width="20.44140625" style="22" customWidth="1"/>
    <col min="15632" max="15639" width="10.5546875" style="22"/>
    <col min="15640" max="15640" width="5.88671875" style="22" bestFit="1" customWidth="1"/>
    <col min="15641" max="15641" width="19.44140625" style="22" bestFit="1" customWidth="1"/>
    <col min="15642" max="15879" width="10.5546875" style="22"/>
    <col min="15880" max="15881" width="16.5546875" style="22" customWidth="1"/>
    <col min="15882" max="15882" width="20.109375" style="22" bestFit="1" customWidth="1"/>
    <col min="15883" max="15883" width="14.109375" style="22" bestFit="1" customWidth="1"/>
    <col min="15884" max="15884" width="14.5546875" style="22" customWidth="1"/>
    <col min="15885" max="15885" width="12.109375" style="22" customWidth="1"/>
    <col min="15886" max="15886" width="15.109375" style="22" customWidth="1"/>
    <col min="15887" max="15887" width="20.44140625" style="22" customWidth="1"/>
    <col min="15888" max="15895" width="10.5546875" style="22"/>
    <col min="15896" max="15896" width="5.88671875" style="22" bestFit="1" customWidth="1"/>
    <col min="15897" max="15897" width="19.44140625" style="22" bestFit="1" customWidth="1"/>
    <col min="15898" max="16135" width="10.5546875" style="22"/>
    <col min="16136" max="16137" width="16.5546875" style="22" customWidth="1"/>
    <col min="16138" max="16138" width="20.109375" style="22" bestFit="1" customWidth="1"/>
    <col min="16139" max="16139" width="14.109375" style="22" bestFit="1" customWidth="1"/>
    <col min="16140" max="16140" width="14.5546875" style="22" customWidth="1"/>
    <col min="16141" max="16141" width="12.109375" style="22" customWidth="1"/>
    <col min="16142" max="16142" width="15.109375" style="22" customWidth="1"/>
    <col min="16143" max="16143" width="20.44140625" style="22" customWidth="1"/>
    <col min="16144" max="16151" width="10.5546875" style="22"/>
    <col min="16152" max="16152" width="5.88671875" style="22" bestFit="1" customWidth="1"/>
    <col min="16153" max="16153" width="19.44140625" style="22" bestFit="1" customWidth="1"/>
    <col min="16154" max="16384" width="10.5546875" style="22"/>
  </cols>
  <sheetData>
    <row r="1" spans="1:25" s="25" customFormat="1" ht="20.100000000000001" customHeight="1" x14ac:dyDescent="0.35">
      <c r="C1" s="77" t="s">
        <v>0</v>
      </c>
      <c r="D1" s="77"/>
      <c r="E1" s="77"/>
      <c r="F1" s="77"/>
      <c r="G1" s="77"/>
      <c r="H1" s="77"/>
      <c r="I1" s="77"/>
      <c r="J1" s="76" t="s">
        <v>107</v>
      </c>
      <c r="K1" s="76"/>
      <c r="L1" s="76"/>
      <c r="M1" s="76"/>
      <c r="N1" s="76"/>
      <c r="O1" s="76"/>
      <c r="P1" s="76"/>
    </row>
    <row r="2" spans="1:25" s="25" customFormat="1" ht="20.100000000000001" customHeight="1" x14ac:dyDescent="0.35">
      <c r="C2" s="77"/>
      <c r="D2" s="77"/>
      <c r="E2" s="77"/>
      <c r="F2" s="77"/>
      <c r="G2" s="77"/>
      <c r="H2" s="77"/>
      <c r="I2" s="77"/>
      <c r="J2" s="76"/>
      <c r="K2" s="76"/>
      <c r="L2" s="76"/>
      <c r="M2" s="76"/>
      <c r="N2" s="76"/>
      <c r="O2" s="76"/>
      <c r="P2" s="76"/>
      <c r="X2" s="22"/>
      <c r="Y2" s="22"/>
    </row>
    <row r="3" spans="1:25" s="25" customFormat="1" ht="20.100000000000001" customHeight="1" x14ac:dyDescent="0.35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X3" s="22"/>
      <c r="Y3" s="22"/>
    </row>
    <row r="4" spans="1:25" ht="20.100000000000001" customHeight="1" x14ac:dyDescent="0.35">
      <c r="C4" s="27"/>
      <c r="D4" s="27"/>
      <c r="E4" s="79" t="s">
        <v>1</v>
      </c>
      <c r="G4" s="79" t="s">
        <v>2</v>
      </c>
      <c r="I4" s="27"/>
      <c r="L4" s="27"/>
      <c r="M4" s="27"/>
      <c r="N4" s="27"/>
      <c r="O4" s="27"/>
    </row>
    <row r="5" spans="1:25" s="12" customFormat="1" ht="20.100000000000001" customHeight="1" x14ac:dyDescent="0.35">
      <c r="A5" s="22"/>
      <c r="B5" s="22"/>
      <c r="C5" s="30"/>
      <c r="D5" s="30"/>
      <c r="E5" s="94"/>
      <c r="F5" s="27"/>
      <c r="G5" s="79"/>
      <c r="I5" s="27"/>
      <c r="J5" s="27"/>
      <c r="K5" s="27"/>
      <c r="L5" s="27"/>
      <c r="M5" s="27"/>
      <c r="N5" s="27"/>
      <c r="O5" s="27"/>
    </row>
    <row r="6" spans="1:25" s="12" customFormat="1" ht="20.100000000000001" customHeight="1" x14ac:dyDescent="0.35">
      <c r="A6" s="31" t="s">
        <v>50</v>
      </c>
      <c r="B6" s="95" t="s">
        <v>106</v>
      </c>
      <c r="C6" s="95"/>
      <c r="D6" s="95"/>
      <c r="E6" s="95"/>
      <c r="F6" s="27"/>
      <c r="G6" s="80" t="s">
        <v>3</v>
      </c>
      <c r="H6" s="80"/>
      <c r="I6" s="80"/>
      <c r="J6" s="80"/>
      <c r="K6" s="80"/>
      <c r="L6" s="80"/>
      <c r="M6" s="32"/>
      <c r="N6" s="32"/>
      <c r="O6" s="32"/>
    </row>
    <row r="7" spans="1:25" s="12" customFormat="1" ht="20.100000000000001" customHeight="1" x14ac:dyDescent="0.35">
      <c r="F7" s="27"/>
      <c r="G7" s="33" t="s">
        <v>4</v>
      </c>
      <c r="H7" s="82" t="s">
        <v>71</v>
      </c>
      <c r="I7" s="82"/>
      <c r="J7" s="74" t="s">
        <v>5</v>
      </c>
      <c r="K7" s="74"/>
      <c r="L7" s="74"/>
      <c r="M7" s="32"/>
      <c r="N7" s="32"/>
      <c r="O7" s="32"/>
    </row>
    <row r="8" spans="1:25" s="12" customFormat="1" ht="20.100000000000001" customHeight="1" x14ac:dyDescent="0.35">
      <c r="F8" s="27"/>
      <c r="G8" s="19"/>
      <c r="H8" s="83"/>
      <c r="I8" s="84"/>
      <c r="J8" s="112"/>
      <c r="K8" s="112"/>
      <c r="L8" s="112"/>
      <c r="M8" s="32"/>
      <c r="N8" s="34"/>
      <c r="O8" s="34"/>
    </row>
    <row r="9" spans="1:25" s="12" customFormat="1" ht="20.100000000000001" customHeight="1" x14ac:dyDescent="0.35">
      <c r="A9" s="35" t="s">
        <v>51</v>
      </c>
      <c r="B9" s="96">
        <f>B64</f>
        <v>53216</v>
      </c>
      <c r="C9" s="97"/>
      <c r="D9" s="97"/>
      <c r="E9" s="98"/>
      <c r="F9" s="27"/>
      <c r="G9" s="81" t="s">
        <v>6</v>
      </c>
      <c r="H9" s="81"/>
      <c r="I9" s="81"/>
      <c r="J9" s="81"/>
      <c r="K9" s="81"/>
      <c r="L9" s="81"/>
      <c r="M9" s="36"/>
      <c r="N9" s="36"/>
      <c r="O9" s="36"/>
    </row>
    <row r="10" spans="1:25" s="12" customFormat="1" ht="20.100000000000001" customHeight="1" x14ac:dyDescent="0.35">
      <c r="A10" s="35" t="s">
        <v>53</v>
      </c>
      <c r="B10" s="96">
        <v>100</v>
      </c>
      <c r="C10" s="97"/>
      <c r="D10" s="97"/>
      <c r="E10" s="98"/>
      <c r="F10" s="27"/>
      <c r="G10" s="119" t="s">
        <v>7</v>
      </c>
      <c r="H10" s="119"/>
      <c r="I10" s="119"/>
      <c r="J10" s="119"/>
      <c r="K10" s="119"/>
      <c r="L10" s="119"/>
      <c r="M10" s="37"/>
      <c r="N10" s="37"/>
      <c r="O10" s="37"/>
    </row>
    <row r="11" spans="1:25" s="12" customFormat="1" ht="20.100000000000001" customHeight="1" x14ac:dyDescent="0.35">
      <c r="A11" s="35" t="s">
        <v>54</v>
      </c>
      <c r="B11" s="96" t="s">
        <v>88</v>
      </c>
      <c r="C11" s="97"/>
      <c r="D11" s="97"/>
      <c r="E11" s="98"/>
      <c r="F11" s="27"/>
    </row>
    <row r="12" spans="1:25" s="12" customFormat="1" ht="20.100000000000001" customHeight="1" x14ac:dyDescent="0.35">
      <c r="A12" s="35" t="s">
        <v>55</v>
      </c>
      <c r="B12" s="99">
        <f>C64</f>
        <v>20200102</v>
      </c>
      <c r="C12" s="97"/>
      <c r="D12" s="97"/>
      <c r="E12" s="98"/>
      <c r="F12" s="27"/>
      <c r="G12" s="120" t="s">
        <v>89</v>
      </c>
      <c r="H12" s="120"/>
      <c r="I12" s="120"/>
      <c r="J12" s="120"/>
      <c r="K12" s="120"/>
      <c r="L12" s="120"/>
      <c r="M12" s="120"/>
      <c r="N12" s="120"/>
      <c r="O12" s="120"/>
      <c r="P12" s="120"/>
    </row>
    <row r="13" spans="1:25" s="12" customFormat="1" ht="20.100000000000001" customHeight="1" x14ac:dyDescent="0.35">
      <c r="A13" s="27"/>
      <c r="B13" s="27"/>
      <c r="C13" s="27"/>
      <c r="D13" s="27"/>
      <c r="E13" s="27"/>
      <c r="F13" s="27"/>
      <c r="G13" s="126" t="s">
        <v>73</v>
      </c>
      <c r="H13" s="127"/>
      <c r="I13" s="128">
        <v>1</v>
      </c>
      <c r="J13" s="129"/>
      <c r="K13" s="129"/>
      <c r="L13" s="129"/>
      <c r="M13" s="129"/>
      <c r="N13" s="130"/>
      <c r="O13" s="133"/>
      <c r="P13" s="133"/>
    </row>
    <row r="14" spans="1:25" s="12" customFormat="1" ht="20.100000000000001" customHeight="1" x14ac:dyDescent="0.35">
      <c r="A14" s="27"/>
      <c r="B14" s="27"/>
      <c r="C14" s="27"/>
      <c r="D14" s="27"/>
      <c r="E14" s="27"/>
      <c r="F14" s="27"/>
      <c r="G14" s="88" t="s">
        <v>98</v>
      </c>
      <c r="H14" s="88"/>
      <c r="I14" s="13" t="s">
        <v>96</v>
      </c>
      <c r="J14" s="13" t="s">
        <v>77</v>
      </c>
      <c r="K14" s="13" t="s">
        <v>80</v>
      </c>
      <c r="L14" s="13" t="s">
        <v>78</v>
      </c>
      <c r="M14" s="13" t="s">
        <v>96</v>
      </c>
      <c r="N14" s="14" t="s">
        <v>81</v>
      </c>
      <c r="O14" s="13" t="s">
        <v>8</v>
      </c>
      <c r="P14" s="15"/>
    </row>
    <row r="15" spans="1:25" s="12" customFormat="1" ht="20.100000000000001" customHeight="1" x14ac:dyDescent="0.35">
      <c r="A15" s="117"/>
      <c r="B15" s="118"/>
      <c r="C15" s="118"/>
      <c r="D15" s="118"/>
      <c r="E15" s="118"/>
      <c r="F15" s="38"/>
      <c r="G15" s="113" t="s">
        <v>75</v>
      </c>
      <c r="H15" s="113"/>
      <c r="I15" s="16"/>
      <c r="J15" s="21">
        <v>0</v>
      </c>
      <c r="K15" s="17">
        <v>0</v>
      </c>
      <c r="L15" s="21">
        <v>0</v>
      </c>
      <c r="M15" s="17" t="s">
        <v>96</v>
      </c>
      <c r="N15" s="17">
        <f t="shared" ref="N15:N19" si="0">L15-J15-K15</f>
        <v>0</v>
      </c>
      <c r="O15" s="13" t="s">
        <v>9</v>
      </c>
      <c r="P15" s="18"/>
    </row>
    <row r="16" spans="1:25" s="12" customFormat="1" ht="20.100000000000001" customHeight="1" x14ac:dyDescent="0.35">
      <c r="A16" s="121" t="s">
        <v>49</v>
      </c>
      <c r="B16" s="122"/>
      <c r="C16" s="123" t="s">
        <v>87</v>
      </c>
      <c r="D16" s="124"/>
      <c r="E16" s="125"/>
      <c r="F16" s="39"/>
      <c r="G16" s="113" t="s">
        <v>76</v>
      </c>
      <c r="H16" s="113"/>
      <c r="I16" s="16"/>
      <c r="J16" s="21">
        <v>0</v>
      </c>
      <c r="K16" s="17">
        <v>0</v>
      </c>
      <c r="L16" s="21">
        <v>0</v>
      </c>
      <c r="M16" s="17" t="s">
        <v>96</v>
      </c>
      <c r="N16" s="17">
        <f t="shared" si="0"/>
        <v>0</v>
      </c>
      <c r="O16" s="13" t="s">
        <v>9</v>
      </c>
      <c r="P16" s="18"/>
    </row>
    <row r="17" spans="1:16" s="12" customFormat="1" ht="20.100000000000001" customHeight="1" x14ac:dyDescent="0.35">
      <c r="A17" s="89" t="s">
        <v>57</v>
      </c>
      <c r="B17" s="90"/>
      <c r="C17" s="91">
        <v>45581</v>
      </c>
      <c r="D17" s="92"/>
      <c r="E17" s="93"/>
      <c r="F17" s="39"/>
      <c r="G17" s="113" t="s">
        <v>82</v>
      </c>
      <c r="H17" s="113"/>
      <c r="I17" s="16"/>
      <c r="J17" s="21">
        <v>0</v>
      </c>
      <c r="K17" s="17">
        <v>0</v>
      </c>
      <c r="L17" s="21">
        <v>0</v>
      </c>
      <c r="M17" s="17" t="s">
        <v>96</v>
      </c>
      <c r="N17" s="17">
        <f t="shared" si="0"/>
        <v>0</v>
      </c>
      <c r="O17" s="13" t="s">
        <v>9</v>
      </c>
      <c r="P17" s="19"/>
    </row>
    <row r="18" spans="1:16" s="12" customFormat="1" ht="20.100000000000001" customHeight="1" x14ac:dyDescent="0.35">
      <c r="A18" s="89" t="s">
        <v>58</v>
      </c>
      <c r="B18" s="90"/>
      <c r="C18" s="114">
        <f>SUM(E64:E68)</f>
        <v>1800</v>
      </c>
      <c r="D18" s="115"/>
      <c r="E18" s="116"/>
      <c r="F18" s="39"/>
      <c r="G18" s="113" t="s">
        <v>83</v>
      </c>
      <c r="H18" s="113"/>
      <c r="I18" s="20"/>
      <c r="J18" s="21">
        <v>0</v>
      </c>
      <c r="K18" s="17">
        <v>0</v>
      </c>
      <c r="L18" s="21">
        <v>0</v>
      </c>
      <c r="M18" s="21" t="s">
        <v>96</v>
      </c>
      <c r="N18" s="21">
        <f t="shared" si="0"/>
        <v>0</v>
      </c>
      <c r="O18" s="13" t="s">
        <v>9</v>
      </c>
      <c r="P18" s="19"/>
    </row>
    <row r="19" spans="1:16" s="12" customFormat="1" ht="20.100000000000001" customHeight="1" x14ac:dyDescent="0.35">
      <c r="A19" s="89" t="s">
        <v>59</v>
      </c>
      <c r="B19" s="90"/>
      <c r="C19" s="91">
        <v>45581</v>
      </c>
      <c r="D19" s="92"/>
      <c r="E19" s="93"/>
      <c r="F19" s="39"/>
      <c r="G19" s="113" t="s">
        <v>84</v>
      </c>
      <c r="H19" s="113"/>
      <c r="I19" s="16"/>
      <c r="J19" s="21">
        <v>0</v>
      </c>
      <c r="K19" s="17">
        <v>0</v>
      </c>
      <c r="L19" s="21">
        <v>0</v>
      </c>
      <c r="M19" s="17" t="s">
        <v>96</v>
      </c>
      <c r="N19" s="17">
        <f t="shared" si="0"/>
        <v>0</v>
      </c>
      <c r="O19" s="13" t="s">
        <v>64</v>
      </c>
      <c r="P19" s="15"/>
    </row>
    <row r="20" spans="1:16" s="37" customFormat="1" ht="20.100000000000001" customHeight="1" x14ac:dyDescent="0.35">
      <c r="A20" s="89" t="s">
        <v>60</v>
      </c>
      <c r="B20" s="90"/>
      <c r="C20" s="91">
        <v>45581</v>
      </c>
      <c r="D20" s="92"/>
      <c r="E20" s="93"/>
      <c r="F20" s="39"/>
      <c r="G20" s="113" t="s">
        <v>85</v>
      </c>
      <c r="H20" s="113"/>
      <c r="I20" s="20"/>
      <c r="J20" s="21">
        <v>0</v>
      </c>
      <c r="K20" s="17">
        <v>0</v>
      </c>
      <c r="L20" s="21">
        <v>0</v>
      </c>
      <c r="M20" s="21" t="s">
        <v>96</v>
      </c>
      <c r="N20" s="21">
        <f t="shared" ref="N20" si="1">L20-J20-K20</f>
        <v>0</v>
      </c>
      <c r="O20" s="22"/>
      <c r="P20" s="22"/>
    </row>
    <row r="21" spans="1:16" s="37" customFormat="1" ht="20.100000000000001" customHeight="1" x14ac:dyDescent="0.35">
      <c r="A21" s="40"/>
      <c r="B21" s="40"/>
      <c r="C21" s="40"/>
      <c r="D21" s="40"/>
      <c r="E21" s="40"/>
      <c r="F21" s="41"/>
      <c r="G21" s="135" t="s">
        <v>97</v>
      </c>
      <c r="H21" s="136"/>
      <c r="I21" s="13" t="s">
        <v>77</v>
      </c>
      <c r="J21" s="13" t="s">
        <v>103</v>
      </c>
      <c r="K21" s="13" t="s">
        <v>80</v>
      </c>
      <c r="L21" s="13" t="s">
        <v>104</v>
      </c>
      <c r="M21" s="13" t="s">
        <v>78</v>
      </c>
      <c r="N21" s="13" t="s">
        <v>96</v>
      </c>
      <c r="O21" s="22"/>
      <c r="P21" s="22"/>
    </row>
    <row r="22" spans="1:16" s="37" customFormat="1" ht="20.100000000000001" customHeight="1" x14ac:dyDescent="0.35">
      <c r="A22" s="40"/>
      <c r="B22" s="40"/>
      <c r="C22" s="40"/>
      <c r="D22" s="40"/>
      <c r="E22" s="40"/>
      <c r="F22" s="41"/>
      <c r="G22" s="23" t="s">
        <v>90</v>
      </c>
      <c r="H22" s="16"/>
      <c r="I22" s="21">
        <v>0</v>
      </c>
      <c r="J22" s="17">
        <v>0</v>
      </c>
      <c r="K22" s="21">
        <v>0</v>
      </c>
      <c r="L22" s="21">
        <v>0</v>
      </c>
      <c r="M22" s="21">
        <v>0</v>
      </c>
      <c r="N22" s="17">
        <f>(J22-I22)+(M22-L22)</f>
        <v>0</v>
      </c>
      <c r="O22" s="22"/>
      <c r="P22" s="22"/>
    </row>
    <row r="23" spans="1:16" s="37" customFormat="1" ht="20.100000000000001" customHeight="1" x14ac:dyDescent="0.35">
      <c r="A23" s="40"/>
      <c r="B23" s="40"/>
      <c r="C23" s="40"/>
      <c r="D23" s="40"/>
      <c r="E23" s="40"/>
      <c r="F23" s="41"/>
      <c r="G23" s="23" t="s">
        <v>91</v>
      </c>
      <c r="H23" s="16"/>
      <c r="I23" s="21">
        <v>0</v>
      </c>
      <c r="J23" s="17">
        <v>0</v>
      </c>
      <c r="K23" s="21">
        <v>0</v>
      </c>
      <c r="L23" s="21">
        <v>0</v>
      </c>
      <c r="M23" s="21">
        <v>0</v>
      </c>
      <c r="N23" s="17">
        <f>(J23-I23)+(M23-L23)-K23</f>
        <v>0</v>
      </c>
      <c r="O23" s="22"/>
      <c r="P23" s="22"/>
    </row>
    <row r="24" spans="1:16" s="37" customFormat="1" ht="20.100000000000001" customHeight="1" x14ac:dyDescent="0.35">
      <c r="A24" s="40"/>
      <c r="B24" s="40"/>
      <c r="C24" s="40"/>
      <c r="D24" s="40"/>
      <c r="E24" s="40"/>
      <c r="F24" s="41"/>
      <c r="G24" s="23" t="s">
        <v>92</v>
      </c>
      <c r="H24" s="16"/>
      <c r="I24" s="21">
        <v>0</v>
      </c>
      <c r="J24" s="17">
        <v>0</v>
      </c>
      <c r="K24" s="21">
        <v>0</v>
      </c>
      <c r="L24" s="21">
        <v>0</v>
      </c>
      <c r="M24" s="21">
        <v>0</v>
      </c>
      <c r="N24" s="17">
        <f t="shared" ref="N24:N27" si="2">(J24-I24)+(M24-L24)</f>
        <v>0</v>
      </c>
      <c r="O24" s="22"/>
      <c r="P24" s="22"/>
    </row>
    <row r="25" spans="1:16" s="37" customFormat="1" ht="20.100000000000001" customHeight="1" x14ac:dyDescent="0.35">
      <c r="A25" s="40"/>
      <c r="B25" s="40"/>
      <c r="C25" s="40"/>
      <c r="D25" s="40"/>
      <c r="E25" s="40"/>
      <c r="F25" s="41"/>
      <c r="G25" s="23" t="s">
        <v>93</v>
      </c>
      <c r="H25" s="16"/>
      <c r="I25" s="21">
        <v>0</v>
      </c>
      <c r="J25" s="17">
        <v>0</v>
      </c>
      <c r="K25" s="21">
        <v>0</v>
      </c>
      <c r="L25" s="21">
        <v>0</v>
      </c>
      <c r="M25" s="21">
        <v>0</v>
      </c>
      <c r="N25" s="17">
        <f t="shared" si="2"/>
        <v>0</v>
      </c>
      <c r="O25" s="22"/>
      <c r="P25" s="22"/>
    </row>
    <row r="26" spans="1:16" s="37" customFormat="1" ht="20.100000000000001" customHeight="1" x14ac:dyDescent="0.35">
      <c r="A26" s="40"/>
      <c r="B26" s="40"/>
      <c r="C26" s="40"/>
      <c r="D26" s="40"/>
      <c r="E26" s="40"/>
      <c r="F26" s="41"/>
      <c r="G26" s="23" t="s">
        <v>94</v>
      </c>
      <c r="H26" s="16"/>
      <c r="I26" s="21">
        <v>0</v>
      </c>
      <c r="J26" s="17">
        <v>0</v>
      </c>
      <c r="K26" s="21">
        <v>0</v>
      </c>
      <c r="L26" s="21">
        <v>0</v>
      </c>
      <c r="M26" s="21">
        <v>0</v>
      </c>
      <c r="N26" s="17">
        <f>(J26-I26)+(M26-L26)</f>
        <v>0</v>
      </c>
      <c r="O26" s="22"/>
      <c r="P26" s="22"/>
    </row>
    <row r="27" spans="1:16" s="37" customFormat="1" ht="20.100000000000001" customHeight="1" x14ac:dyDescent="0.35">
      <c r="A27" s="40"/>
      <c r="B27" s="40"/>
      <c r="C27" s="40"/>
      <c r="D27" s="40"/>
      <c r="E27" s="40"/>
      <c r="F27" s="41"/>
      <c r="G27" s="23" t="s">
        <v>95</v>
      </c>
      <c r="H27" s="16"/>
      <c r="I27" s="21">
        <v>0</v>
      </c>
      <c r="J27" s="17">
        <v>0</v>
      </c>
      <c r="K27" s="21">
        <v>0</v>
      </c>
      <c r="L27" s="21">
        <v>0</v>
      </c>
      <c r="M27" s="21">
        <v>0</v>
      </c>
      <c r="N27" s="17">
        <f t="shared" si="2"/>
        <v>0</v>
      </c>
      <c r="O27" s="22"/>
      <c r="P27" s="22"/>
    </row>
    <row r="28" spans="1:16" s="37" customFormat="1" ht="20.100000000000001" customHeight="1" x14ac:dyDescent="0.35">
      <c r="A28" s="40"/>
      <c r="B28" s="40"/>
      <c r="C28" s="40"/>
      <c r="D28" s="40"/>
      <c r="E28" s="40"/>
      <c r="F28" s="41"/>
      <c r="G28" s="131" t="s">
        <v>79</v>
      </c>
      <c r="H28" s="132"/>
      <c r="I28" s="15"/>
      <c r="J28" s="24" t="s">
        <v>99</v>
      </c>
      <c r="K28" s="134">
        <f>SUM(N22:N27)</f>
        <v>0</v>
      </c>
      <c r="L28" s="134"/>
      <c r="M28" s="134"/>
      <c r="N28" s="134"/>
      <c r="O28" s="22"/>
      <c r="P28" s="22"/>
    </row>
    <row r="29" spans="1:16" s="37" customFormat="1" ht="20.100000000000001" customHeight="1" x14ac:dyDescent="0.35">
      <c r="A29" s="40"/>
      <c r="B29" s="40"/>
      <c r="C29" s="40"/>
      <c r="D29" s="40"/>
      <c r="E29" s="40"/>
      <c r="F29" s="41"/>
      <c r="G29" s="113" t="s">
        <v>74</v>
      </c>
      <c r="H29" s="113"/>
      <c r="I29" s="15"/>
      <c r="J29" s="24" t="s">
        <v>100</v>
      </c>
      <c r="K29" s="134">
        <v>0.33333333333333331</v>
      </c>
      <c r="L29" s="134"/>
      <c r="M29" s="134"/>
      <c r="N29" s="134"/>
      <c r="O29" s="22"/>
      <c r="P29" s="22"/>
    </row>
    <row r="30" spans="1:16" s="37" customFormat="1" ht="20.100000000000001" customHeight="1" x14ac:dyDescent="0.35">
      <c r="A30" s="40"/>
      <c r="B30" s="40"/>
      <c r="C30" s="40"/>
      <c r="D30" s="40"/>
      <c r="E30" s="40"/>
      <c r="F30" s="41"/>
      <c r="G30" s="113" t="s">
        <v>102</v>
      </c>
      <c r="H30" s="113"/>
      <c r="I30" s="15"/>
      <c r="J30" s="24" t="s">
        <v>101</v>
      </c>
      <c r="K30" s="134">
        <f>SUM(N15:N20)</f>
        <v>0</v>
      </c>
      <c r="L30" s="134"/>
      <c r="M30" s="134"/>
      <c r="N30" s="134"/>
      <c r="O30" s="22"/>
      <c r="P30" s="22"/>
    </row>
    <row r="31" spans="1:16" s="37" customFormat="1" ht="20.100000000000001" customHeight="1" x14ac:dyDescent="0.35">
      <c r="A31" s="40"/>
      <c r="B31" s="40"/>
      <c r="C31" s="40"/>
      <c r="D31" s="40"/>
      <c r="E31" s="40"/>
      <c r="F31" s="41"/>
      <c r="G31" s="42"/>
      <c r="H31" s="42"/>
      <c r="I31" s="42"/>
      <c r="J31" s="42"/>
      <c r="K31" s="42"/>
      <c r="L31" s="42"/>
      <c r="M31" s="42"/>
      <c r="N31" s="42"/>
      <c r="O31" s="22"/>
      <c r="P31" s="22"/>
    </row>
    <row r="32" spans="1:16" ht="20.100000000000001" customHeight="1" x14ac:dyDescent="0.35">
      <c r="A32" s="108" t="s">
        <v>10</v>
      </c>
      <c r="B32" s="109"/>
      <c r="C32" s="105" t="s">
        <v>11</v>
      </c>
      <c r="D32" s="106"/>
      <c r="E32" s="106"/>
      <c r="F32" s="106"/>
      <c r="G32" s="106"/>
      <c r="H32" s="106"/>
      <c r="I32" s="106"/>
      <c r="J32" s="107"/>
      <c r="K32" s="78" t="s">
        <v>12</v>
      </c>
      <c r="L32" s="78" t="s">
        <v>13</v>
      </c>
      <c r="M32" s="6"/>
      <c r="N32" s="6"/>
      <c r="O32" s="42"/>
      <c r="P32" s="43"/>
    </row>
    <row r="33" spans="1:15" ht="43.5" customHeight="1" x14ac:dyDescent="0.35">
      <c r="A33" s="110"/>
      <c r="B33" s="111"/>
      <c r="C33" s="1" t="s">
        <v>14</v>
      </c>
      <c r="D33" s="1" t="s">
        <v>63</v>
      </c>
      <c r="E33" s="2" t="s">
        <v>15</v>
      </c>
      <c r="F33" s="2" t="s">
        <v>16</v>
      </c>
      <c r="G33" s="2" t="s">
        <v>17</v>
      </c>
      <c r="H33" s="1" t="s">
        <v>18</v>
      </c>
      <c r="I33" s="2" t="s">
        <v>19</v>
      </c>
      <c r="J33" s="2" t="s">
        <v>20</v>
      </c>
      <c r="K33" s="78"/>
      <c r="L33" s="78"/>
      <c r="M33" s="6"/>
      <c r="N33" s="6"/>
      <c r="O33" s="6"/>
    </row>
    <row r="34" spans="1:15" s="42" customFormat="1" ht="20.100000000000001" customHeight="1" x14ac:dyDescent="0.35">
      <c r="A34" s="44" t="s">
        <v>21</v>
      </c>
      <c r="B34" s="45"/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>SUM(C34:J34)</f>
        <v>0</v>
      </c>
      <c r="L34" s="4">
        <v>0</v>
      </c>
      <c r="M34" s="10"/>
      <c r="N34" s="7"/>
      <c r="O34" s="6"/>
    </row>
    <row r="35" spans="1:15" ht="20.100000000000001" customHeight="1" x14ac:dyDescent="0.35">
      <c r="A35" s="44" t="s">
        <v>22</v>
      </c>
      <c r="B35" s="45"/>
      <c r="C35" s="3">
        <v>0</v>
      </c>
      <c r="D35" s="3">
        <v>500</v>
      </c>
      <c r="E35" s="3">
        <v>0</v>
      </c>
      <c r="F35" s="3">
        <v>0</v>
      </c>
      <c r="G35" s="3">
        <v>0</v>
      </c>
      <c r="H35" s="3">
        <v>0</v>
      </c>
      <c r="I35" s="3">
        <v>49.8</v>
      </c>
      <c r="J35" s="3">
        <v>0</v>
      </c>
      <c r="K35" s="3">
        <f t="shared" ref="K35:K57" si="3">SUM(C35:J35)</f>
        <v>549.79999999999995</v>
      </c>
      <c r="L35" s="4">
        <v>0</v>
      </c>
      <c r="M35" s="10"/>
      <c r="N35" s="7"/>
      <c r="O35" s="7"/>
    </row>
    <row r="36" spans="1:15" ht="20.100000000000001" customHeight="1" x14ac:dyDescent="0.35">
      <c r="A36" s="44" t="s">
        <v>52</v>
      </c>
      <c r="B36" s="45"/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 t="shared" si="3"/>
        <v>0</v>
      </c>
      <c r="L36" s="4">
        <v>0</v>
      </c>
      <c r="M36" s="10"/>
      <c r="N36" s="7"/>
      <c r="O36" s="7"/>
    </row>
    <row r="37" spans="1:15" ht="20.100000000000001" customHeight="1" x14ac:dyDescent="0.35">
      <c r="A37" s="44" t="s">
        <v>23</v>
      </c>
      <c r="B37" s="45"/>
      <c r="C37" s="3">
        <v>0</v>
      </c>
      <c r="D37" s="3">
        <v>100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3"/>
        <v>100</v>
      </c>
      <c r="L37" s="4">
        <v>0</v>
      </c>
      <c r="M37" s="10"/>
      <c r="N37" s="7"/>
      <c r="O37" s="7"/>
    </row>
    <row r="38" spans="1:15" ht="20.100000000000001" customHeight="1" x14ac:dyDescent="0.35">
      <c r="A38" s="44" t="s">
        <v>24</v>
      </c>
      <c r="B38" s="45"/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3"/>
        <v>0</v>
      </c>
      <c r="L38" s="4">
        <v>0</v>
      </c>
      <c r="M38" s="10"/>
      <c r="N38" s="7"/>
      <c r="O38" s="7"/>
    </row>
    <row r="39" spans="1:15" ht="20.100000000000001" customHeight="1" x14ac:dyDescent="0.35">
      <c r="A39" s="44" t="s">
        <v>25</v>
      </c>
      <c r="B39" s="45"/>
      <c r="C39" s="3">
        <v>0</v>
      </c>
      <c r="D39" s="3">
        <v>1200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3"/>
        <v>1200</v>
      </c>
      <c r="L39" s="4">
        <v>0</v>
      </c>
      <c r="M39" s="10"/>
      <c r="N39" s="7"/>
      <c r="O39" s="7"/>
    </row>
    <row r="40" spans="1:15" ht="20.100000000000001" customHeight="1" x14ac:dyDescent="0.35">
      <c r="A40" s="44" t="s">
        <v>26</v>
      </c>
      <c r="B40" s="45"/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3"/>
        <v>0</v>
      </c>
      <c r="L40" s="4">
        <v>0</v>
      </c>
      <c r="M40" s="10"/>
      <c r="N40" s="7"/>
      <c r="O40" s="7"/>
    </row>
    <row r="41" spans="1:15" ht="20.100000000000001" customHeight="1" x14ac:dyDescent="0.35">
      <c r="A41" s="44" t="s">
        <v>27</v>
      </c>
      <c r="B41" s="45"/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3"/>
        <v>0</v>
      </c>
      <c r="L41" s="3">
        <v>0</v>
      </c>
      <c r="M41" s="11"/>
      <c r="N41" s="8"/>
      <c r="O41" s="7"/>
    </row>
    <row r="42" spans="1:15" ht="20.100000000000001" customHeight="1" x14ac:dyDescent="0.35">
      <c r="A42" s="44" t="s">
        <v>28</v>
      </c>
      <c r="B42" s="45"/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3"/>
        <v>0</v>
      </c>
      <c r="L42" s="3">
        <v>0</v>
      </c>
      <c r="M42" s="11"/>
      <c r="N42" s="8"/>
      <c r="O42" s="8"/>
    </row>
    <row r="43" spans="1:15" ht="20.100000000000001" customHeight="1" x14ac:dyDescent="0.35">
      <c r="A43" s="44" t="s">
        <v>29</v>
      </c>
      <c r="B43" s="45"/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f t="shared" si="3"/>
        <v>0</v>
      </c>
      <c r="L43" s="3">
        <v>0</v>
      </c>
      <c r="M43" s="11"/>
      <c r="N43" s="8"/>
      <c r="O43" s="8"/>
    </row>
    <row r="44" spans="1:15" ht="20.100000000000001" customHeight="1" x14ac:dyDescent="0.35">
      <c r="A44" s="44" t="s">
        <v>30</v>
      </c>
      <c r="B44" s="45"/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3"/>
        <v>0</v>
      </c>
      <c r="L44" s="3">
        <v>0</v>
      </c>
      <c r="M44" s="11"/>
      <c r="N44" s="8"/>
      <c r="O44" s="8"/>
    </row>
    <row r="45" spans="1:15" ht="20.100000000000001" customHeight="1" x14ac:dyDescent="0.35">
      <c r="A45" s="44" t="s">
        <v>31</v>
      </c>
      <c r="B45" s="45"/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3"/>
        <v>0</v>
      </c>
      <c r="L45" s="3">
        <v>0</v>
      </c>
      <c r="M45" s="11"/>
      <c r="N45" s="8"/>
      <c r="O45" s="8"/>
    </row>
    <row r="46" spans="1:15" ht="20.100000000000001" customHeight="1" x14ac:dyDescent="0.35">
      <c r="A46" s="44" t="s">
        <v>32</v>
      </c>
      <c r="B46" s="45"/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3"/>
        <v>0</v>
      </c>
      <c r="L46" s="3">
        <v>0</v>
      </c>
      <c r="M46" s="11"/>
      <c r="N46" s="8"/>
      <c r="O46" s="8"/>
    </row>
    <row r="47" spans="1:15" ht="20.100000000000001" customHeight="1" x14ac:dyDescent="0.35">
      <c r="A47" s="44" t="s">
        <v>33</v>
      </c>
      <c r="B47" s="45"/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f t="shared" si="3"/>
        <v>0</v>
      </c>
      <c r="L47" s="3">
        <v>0</v>
      </c>
      <c r="M47" s="11"/>
      <c r="N47" s="8"/>
      <c r="O47" s="8"/>
    </row>
    <row r="48" spans="1:15" ht="20.100000000000001" customHeight="1" x14ac:dyDescent="0.35">
      <c r="A48" s="44" t="s">
        <v>34</v>
      </c>
      <c r="B48" s="45"/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3"/>
        <v>0</v>
      </c>
      <c r="L48" s="3">
        <v>0</v>
      </c>
      <c r="M48" s="11"/>
      <c r="N48" s="8"/>
      <c r="O48" s="8"/>
    </row>
    <row r="49" spans="1:25" ht="20.100000000000001" customHeight="1" x14ac:dyDescent="0.35">
      <c r="A49" s="44" t="s">
        <v>35</v>
      </c>
      <c r="B49" s="45"/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f t="shared" si="3"/>
        <v>0</v>
      </c>
      <c r="L49" s="3">
        <v>0</v>
      </c>
      <c r="M49" s="11"/>
      <c r="N49" s="8"/>
      <c r="O49" s="8"/>
    </row>
    <row r="50" spans="1:25" ht="20.100000000000001" customHeight="1" x14ac:dyDescent="0.35">
      <c r="A50" s="44" t="s">
        <v>36</v>
      </c>
      <c r="B50" s="45"/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3"/>
        <v>0</v>
      </c>
      <c r="L50" s="3">
        <v>0</v>
      </c>
      <c r="M50" s="11"/>
      <c r="N50" s="8"/>
      <c r="O50" s="8"/>
    </row>
    <row r="51" spans="1:25" ht="20.100000000000001" customHeight="1" x14ac:dyDescent="0.35">
      <c r="A51" s="44" t="s">
        <v>37</v>
      </c>
      <c r="B51" s="45"/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3"/>
        <v>0</v>
      </c>
      <c r="L51" s="3">
        <v>0</v>
      </c>
      <c r="M51" s="11"/>
      <c r="N51" s="8"/>
      <c r="O51" s="8"/>
    </row>
    <row r="52" spans="1:25" ht="20.100000000000001" customHeight="1" x14ac:dyDescent="0.35">
      <c r="A52" s="44" t="s">
        <v>38</v>
      </c>
      <c r="B52" s="45"/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3"/>
        <v>0</v>
      </c>
      <c r="L52" s="3">
        <v>0</v>
      </c>
      <c r="M52" s="11"/>
      <c r="N52" s="8"/>
      <c r="O52" s="8"/>
    </row>
    <row r="53" spans="1:25" ht="20.100000000000001" customHeight="1" x14ac:dyDescent="0.35">
      <c r="A53" s="44" t="s">
        <v>39</v>
      </c>
      <c r="B53" s="45"/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3"/>
        <v>0</v>
      </c>
      <c r="L53" s="3">
        <v>0</v>
      </c>
      <c r="M53" s="11"/>
      <c r="N53" s="8"/>
      <c r="O53" s="8"/>
    </row>
    <row r="54" spans="1:25" ht="20.100000000000001" customHeight="1" x14ac:dyDescent="0.35">
      <c r="A54" s="44" t="s">
        <v>40</v>
      </c>
      <c r="B54" s="45"/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3"/>
        <v>0</v>
      </c>
      <c r="L54" s="3">
        <v>0</v>
      </c>
      <c r="M54" s="11"/>
      <c r="N54" s="8"/>
      <c r="O54" s="8"/>
    </row>
    <row r="55" spans="1:25" ht="20.100000000000001" customHeight="1" x14ac:dyDescent="0.35">
      <c r="A55" s="44" t="s">
        <v>41</v>
      </c>
      <c r="B55" s="45"/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f t="shared" si="3"/>
        <v>0</v>
      </c>
      <c r="L55" s="3">
        <v>0</v>
      </c>
      <c r="M55" s="11"/>
      <c r="N55" s="8"/>
      <c r="O55" s="8"/>
    </row>
    <row r="56" spans="1:25" ht="20.100000000000001" customHeight="1" x14ac:dyDescent="0.35">
      <c r="A56" s="44" t="s">
        <v>42</v>
      </c>
      <c r="B56" s="45"/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3"/>
        <v>0</v>
      </c>
      <c r="L56" s="3">
        <v>0</v>
      </c>
      <c r="M56" s="11"/>
      <c r="N56" s="8"/>
      <c r="O56" s="8"/>
    </row>
    <row r="57" spans="1:25" ht="20.100000000000001" customHeight="1" x14ac:dyDescent="0.35">
      <c r="A57" s="44" t="s">
        <v>72</v>
      </c>
      <c r="B57" s="45" t="s">
        <v>105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3"/>
        <v>0</v>
      </c>
      <c r="L57" s="3">
        <v>0</v>
      </c>
      <c r="M57" s="11"/>
      <c r="N57" s="8"/>
      <c r="O57" s="8"/>
    </row>
    <row r="58" spans="1:25" ht="20.100000000000001" customHeight="1" x14ac:dyDescent="0.35">
      <c r="A58" s="46" t="s">
        <v>56</v>
      </c>
      <c r="B58" s="47"/>
      <c r="C58" s="5">
        <f>SUM(C34:C57)</f>
        <v>0</v>
      </c>
      <c r="D58" s="5">
        <f>SUM(D34:D57)</f>
        <v>1800</v>
      </c>
      <c r="E58" s="5">
        <f>SUM(E34:E57)</f>
        <v>0</v>
      </c>
      <c r="F58" s="5">
        <f>SUM(F34:F57)</f>
        <v>0</v>
      </c>
      <c r="G58" s="5">
        <f t="shared" ref="G58:L58" si="4">SUM(G34:G57)</f>
        <v>0</v>
      </c>
      <c r="H58" s="5">
        <f t="shared" si="4"/>
        <v>0</v>
      </c>
      <c r="I58" s="5">
        <f t="shared" si="4"/>
        <v>49.8</v>
      </c>
      <c r="J58" s="5">
        <f t="shared" si="4"/>
        <v>0</v>
      </c>
      <c r="K58" s="5">
        <f t="shared" si="4"/>
        <v>1849.8</v>
      </c>
      <c r="L58" s="5">
        <f t="shared" si="4"/>
        <v>0</v>
      </c>
      <c r="M58" s="8"/>
      <c r="N58" s="9"/>
      <c r="O58" s="8"/>
    </row>
    <row r="59" spans="1:25" ht="12.75" customHeight="1" x14ac:dyDescent="0.35">
      <c r="C59" s="22"/>
      <c r="D59" s="22"/>
      <c r="E59" s="22"/>
      <c r="F59" s="25"/>
      <c r="L59" s="48"/>
      <c r="M59" s="48"/>
      <c r="N59" s="48"/>
      <c r="O59" s="9"/>
    </row>
    <row r="60" spans="1:25" ht="20.100000000000001" customHeight="1" x14ac:dyDescent="0.35">
      <c r="C60" s="22"/>
      <c r="D60" s="22"/>
      <c r="E60" s="22"/>
      <c r="G60" s="22"/>
      <c r="H60" s="100" t="s">
        <v>61</v>
      </c>
      <c r="I60" s="101"/>
      <c r="J60" s="102"/>
      <c r="K60" s="103">
        <v>0</v>
      </c>
      <c r="L60" s="104"/>
      <c r="M60" s="49"/>
      <c r="N60" s="49"/>
      <c r="O60" s="48"/>
    </row>
    <row r="61" spans="1:25" ht="20.100000000000001" customHeight="1" x14ac:dyDescent="0.35">
      <c r="D61" s="25"/>
      <c r="E61" s="25"/>
      <c r="G61" s="22"/>
      <c r="H61" s="100" t="s">
        <v>43</v>
      </c>
      <c r="I61" s="101"/>
      <c r="J61" s="102"/>
      <c r="K61" s="103">
        <f>I58</f>
        <v>49.8</v>
      </c>
      <c r="L61" s="104"/>
      <c r="M61" s="49"/>
      <c r="N61" s="49"/>
      <c r="O61" s="49"/>
      <c r="W61" s="50"/>
      <c r="X61" s="50"/>
    </row>
    <row r="62" spans="1:25" ht="14.25" customHeight="1" x14ac:dyDescent="0.35">
      <c r="C62" s="51"/>
      <c r="F62" s="25"/>
      <c r="L62" s="52"/>
      <c r="M62" s="52"/>
      <c r="N62" s="52"/>
      <c r="O62" s="49"/>
      <c r="W62" s="50"/>
      <c r="X62" s="50"/>
    </row>
    <row r="63" spans="1:25" ht="20.100000000000001" customHeight="1" x14ac:dyDescent="0.35">
      <c r="A63" s="53" t="s">
        <v>44</v>
      </c>
      <c r="B63" s="54" t="s">
        <v>65</v>
      </c>
      <c r="C63" s="54" t="s">
        <v>86</v>
      </c>
      <c r="D63" s="54" t="s">
        <v>66</v>
      </c>
      <c r="E63" s="53" t="s">
        <v>67</v>
      </c>
      <c r="F63" s="53" t="s">
        <v>68</v>
      </c>
      <c r="G63" s="53" t="s">
        <v>69</v>
      </c>
      <c r="H63" s="85" t="s">
        <v>70</v>
      </c>
      <c r="I63" s="85"/>
      <c r="J63" s="85"/>
      <c r="K63" s="85"/>
      <c r="L63" s="85"/>
      <c r="M63" s="85"/>
      <c r="N63" s="85"/>
      <c r="O63" s="52"/>
      <c r="X63" s="50"/>
      <c r="Y63" s="50"/>
    </row>
    <row r="64" spans="1:25" ht="20.100000000000001" customHeight="1" x14ac:dyDescent="0.35">
      <c r="A64" s="55">
        <v>45581</v>
      </c>
      <c r="B64" s="56">
        <v>53216</v>
      </c>
      <c r="C64" s="57">
        <v>20200102</v>
      </c>
      <c r="D64" s="58" t="s">
        <v>106</v>
      </c>
      <c r="E64" s="59">
        <v>1000</v>
      </c>
      <c r="F64" s="60"/>
      <c r="G64" s="61"/>
      <c r="H64" s="86"/>
      <c r="I64" s="86"/>
      <c r="J64" s="86"/>
      <c r="K64" s="86"/>
      <c r="L64" s="86"/>
      <c r="M64" s="86"/>
      <c r="N64" s="86"/>
      <c r="O64" s="52"/>
      <c r="X64" s="50"/>
      <c r="Y64" s="50"/>
    </row>
    <row r="65" spans="1:25" ht="20.100000000000001" customHeight="1" x14ac:dyDescent="0.35">
      <c r="A65" s="55">
        <v>45603</v>
      </c>
      <c r="B65" s="56">
        <v>53215</v>
      </c>
      <c r="C65" s="56">
        <v>20230823</v>
      </c>
      <c r="D65" s="58" t="s">
        <v>106</v>
      </c>
      <c r="E65" s="59">
        <v>800</v>
      </c>
      <c r="F65" s="60"/>
      <c r="G65" s="61"/>
      <c r="H65" s="86"/>
      <c r="I65" s="86"/>
      <c r="J65" s="86"/>
      <c r="K65" s="86"/>
      <c r="L65" s="86"/>
      <c r="M65" s="86"/>
      <c r="N65" s="86"/>
      <c r="O65" s="52"/>
      <c r="X65" s="50"/>
      <c r="Y65" s="50"/>
    </row>
    <row r="66" spans="1:25" ht="20.100000000000001" customHeight="1" x14ac:dyDescent="0.35">
      <c r="A66" s="55"/>
      <c r="B66" s="56"/>
      <c r="C66" s="57"/>
      <c r="D66" s="58"/>
      <c r="E66" s="59"/>
      <c r="F66" s="60"/>
      <c r="G66" s="61"/>
      <c r="H66" s="86"/>
      <c r="I66" s="86"/>
      <c r="J66" s="86"/>
      <c r="K66" s="86"/>
      <c r="L66" s="86"/>
      <c r="M66" s="86"/>
      <c r="N66" s="86"/>
      <c r="O66" s="52"/>
      <c r="X66" s="50"/>
      <c r="Y66" s="50"/>
    </row>
    <row r="67" spans="1:25" ht="20.100000000000001" customHeight="1" x14ac:dyDescent="0.35">
      <c r="A67" s="55"/>
      <c r="B67" s="56"/>
      <c r="C67" s="57"/>
      <c r="D67" s="58"/>
      <c r="E67" s="59"/>
      <c r="F67" s="60"/>
      <c r="G67" s="62"/>
      <c r="H67" s="87"/>
      <c r="I67" s="87"/>
      <c r="J67" s="87"/>
      <c r="K67" s="87"/>
      <c r="L67" s="87"/>
      <c r="M67" s="87"/>
      <c r="N67" s="87"/>
      <c r="O67" s="52"/>
      <c r="X67" s="50"/>
      <c r="Y67" s="50"/>
    </row>
    <row r="68" spans="1:25" ht="20.100000000000001" customHeight="1" x14ac:dyDescent="0.35">
      <c r="A68" s="63"/>
      <c r="B68" s="63"/>
      <c r="C68" s="63"/>
      <c r="D68" s="58"/>
      <c r="E68" s="59"/>
      <c r="F68" s="60"/>
      <c r="G68" s="62"/>
      <c r="H68" s="75"/>
      <c r="I68" s="75"/>
      <c r="J68" s="75"/>
      <c r="K68" s="75"/>
      <c r="L68" s="75"/>
      <c r="M68" s="75"/>
      <c r="N68" s="75"/>
    </row>
    <row r="69" spans="1:25" ht="20.100000000000001" customHeight="1" x14ac:dyDescent="0.35">
      <c r="A69" s="64"/>
      <c r="B69" s="64"/>
      <c r="C69" s="64"/>
      <c r="D69" s="65"/>
      <c r="E69" s="66">
        <f>SUM(E64:E68)</f>
        <v>1800</v>
      </c>
      <c r="F69" s="66">
        <f>SUM(F64:F68)</f>
        <v>0</v>
      </c>
      <c r="G69" s="66">
        <f>E69-F69</f>
        <v>1800</v>
      </c>
      <c r="H69" s="64"/>
      <c r="I69" s="64"/>
    </row>
    <row r="70" spans="1:25" ht="20.100000000000001" customHeight="1" x14ac:dyDescent="0.35">
      <c r="A70" s="64"/>
      <c r="B70" s="64"/>
      <c r="C70" s="64"/>
      <c r="D70" s="65"/>
      <c r="E70" s="65"/>
      <c r="F70" s="64"/>
      <c r="G70" s="64"/>
      <c r="H70" s="64"/>
      <c r="I70" s="64"/>
    </row>
    <row r="71" spans="1:25" ht="20.100000000000001" customHeight="1" x14ac:dyDescent="0.35">
      <c r="C71" s="22"/>
      <c r="D71" s="22"/>
      <c r="E71" s="22"/>
      <c r="F71" s="22"/>
      <c r="G71" s="22"/>
      <c r="H71" s="22"/>
      <c r="I71" s="22"/>
      <c r="J71" s="22"/>
      <c r="K71" s="22"/>
    </row>
    <row r="72" spans="1:25" ht="20.100000000000001" customHeight="1" thickBot="1" x14ac:dyDescent="0.4">
      <c r="A72" s="67"/>
      <c r="C72" s="68"/>
      <c r="D72" s="22"/>
      <c r="E72" s="68"/>
      <c r="F72" s="22"/>
      <c r="G72" s="69"/>
      <c r="H72" s="22"/>
      <c r="I72" s="68"/>
      <c r="J72" s="72"/>
      <c r="K72" s="72"/>
      <c r="L72" s="72"/>
      <c r="M72" s="72"/>
      <c r="N72" s="72"/>
    </row>
    <row r="73" spans="1:25" s="72" customFormat="1" ht="20.100000000000001" customHeight="1" thickTop="1" x14ac:dyDescent="0.35">
      <c r="A73" s="70" t="s">
        <v>45</v>
      </c>
      <c r="B73" s="70"/>
      <c r="C73" s="71" t="s">
        <v>48</v>
      </c>
      <c r="E73" s="71" t="s">
        <v>62</v>
      </c>
      <c r="F73" s="71"/>
      <c r="G73" s="71" t="s">
        <v>46</v>
      </c>
      <c r="I73" s="71" t="s">
        <v>47</v>
      </c>
      <c r="J73" s="73"/>
      <c r="K73" s="22"/>
      <c r="L73" s="22"/>
      <c r="M73" s="22"/>
      <c r="N73" s="22"/>
    </row>
    <row r="74" spans="1:25" ht="17.100000000000001" customHeight="1" x14ac:dyDescent="0.35">
      <c r="A74" s="28"/>
      <c r="C74" s="29"/>
      <c r="D74" s="73"/>
      <c r="E74" s="73"/>
      <c r="F74" s="22"/>
      <c r="G74" s="73"/>
      <c r="H74" s="73"/>
      <c r="I74" s="73"/>
      <c r="J74" s="22"/>
      <c r="K74" s="22"/>
      <c r="L74" s="22"/>
      <c r="M74" s="22"/>
      <c r="N74" s="22"/>
      <c r="O74" s="22"/>
    </row>
    <row r="75" spans="1:25" ht="17.100000000000001" customHeight="1" x14ac:dyDescent="0.35">
      <c r="A75" s="28"/>
      <c r="B75" s="73"/>
      <c r="C75" s="73"/>
      <c r="D75" s="73"/>
      <c r="E75" s="29"/>
      <c r="F75" s="29"/>
      <c r="J75" s="22"/>
      <c r="K75" s="22"/>
      <c r="L75" s="22"/>
      <c r="M75" s="22"/>
      <c r="N75" s="22"/>
      <c r="O75" s="22"/>
    </row>
    <row r="76" spans="1:25" ht="17.100000000000001" customHeight="1" x14ac:dyDescent="0.35">
      <c r="A76" s="28"/>
      <c r="B76" s="28"/>
      <c r="E76" s="29"/>
      <c r="F76" s="29"/>
      <c r="G76" s="29"/>
      <c r="J76" s="28"/>
      <c r="K76" s="22"/>
      <c r="L76" s="22"/>
      <c r="M76" s="22"/>
      <c r="N76" s="22"/>
      <c r="O76" s="22"/>
    </row>
    <row r="77" spans="1:25" ht="17.100000000000001" customHeight="1" x14ac:dyDescent="0.35">
      <c r="A77" s="28"/>
      <c r="B77" s="28"/>
      <c r="F77" s="29"/>
      <c r="O77" s="22"/>
    </row>
  </sheetData>
  <mergeCells count="59">
    <mergeCell ref="I13:N13"/>
    <mergeCell ref="G30:H30"/>
    <mergeCell ref="G28:H28"/>
    <mergeCell ref="O13:P13"/>
    <mergeCell ref="K28:N28"/>
    <mergeCell ref="K29:N29"/>
    <mergeCell ref="K30:N30"/>
    <mergeCell ref="G16:H16"/>
    <mergeCell ref="G17:H17"/>
    <mergeCell ref="G18:H18"/>
    <mergeCell ref="G19:H19"/>
    <mergeCell ref="G21:H21"/>
    <mergeCell ref="G29:H29"/>
    <mergeCell ref="A32:B33"/>
    <mergeCell ref="J8:L8"/>
    <mergeCell ref="G20:H20"/>
    <mergeCell ref="G15:H15"/>
    <mergeCell ref="B9:E9"/>
    <mergeCell ref="A18:B18"/>
    <mergeCell ref="C17:E17"/>
    <mergeCell ref="C18:E18"/>
    <mergeCell ref="A17:B17"/>
    <mergeCell ref="A15:E15"/>
    <mergeCell ref="G10:L10"/>
    <mergeCell ref="G12:P12"/>
    <mergeCell ref="A16:B16"/>
    <mergeCell ref="C16:E16"/>
    <mergeCell ref="B10:E10"/>
    <mergeCell ref="G13:H13"/>
    <mergeCell ref="L32:L33"/>
    <mergeCell ref="H60:J60"/>
    <mergeCell ref="H61:J61"/>
    <mergeCell ref="K61:L61"/>
    <mergeCell ref="K60:L60"/>
    <mergeCell ref="C32:J32"/>
    <mergeCell ref="A20:B20"/>
    <mergeCell ref="A19:B19"/>
    <mergeCell ref="C19:E19"/>
    <mergeCell ref="C20:E20"/>
    <mergeCell ref="E4:E5"/>
    <mergeCell ref="B6:E6"/>
    <mergeCell ref="B11:E11"/>
    <mergeCell ref="B12:E12"/>
    <mergeCell ref="J7:L7"/>
    <mergeCell ref="H68:N68"/>
    <mergeCell ref="J1:P2"/>
    <mergeCell ref="C1:I2"/>
    <mergeCell ref="K32:K33"/>
    <mergeCell ref="G4:G5"/>
    <mergeCell ref="G6:L6"/>
    <mergeCell ref="G9:L9"/>
    <mergeCell ref="H7:I7"/>
    <mergeCell ref="H8:I8"/>
    <mergeCell ref="H63:N63"/>
    <mergeCell ref="H64:N64"/>
    <mergeCell ref="H65:N65"/>
    <mergeCell ref="H66:N66"/>
    <mergeCell ref="H67:N67"/>
    <mergeCell ref="G14:H14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31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F448FCC54DC64DB540D6BAF5255348" ma:contentTypeVersion="18" ma:contentTypeDescription="Crie um novo documento." ma:contentTypeScope="" ma:versionID="fc400e491240a85104a11460058f6ec1">
  <xsd:schema xmlns:xsd="http://www.w3.org/2001/XMLSchema" xmlns:xs="http://www.w3.org/2001/XMLSchema" xmlns:p="http://schemas.microsoft.com/office/2006/metadata/properties" xmlns:ns2="e6231abf-33ea-4d80-a754-dfd47c38478f" xmlns:ns3="73cd431c-aff8-4f78-a1fb-9b0ecc7b2f02" xmlns:ns4="3a31d02c-16c9-4a36-83b0-ec9facb35843" targetNamespace="http://schemas.microsoft.com/office/2006/metadata/properties" ma:root="true" ma:fieldsID="b96e3744799ef32c446d9966a37b69f4" ns2:_="" ns3:_="" ns4:_="">
    <xsd:import namespace="e6231abf-33ea-4d80-a754-dfd47c38478f"/>
    <xsd:import namespace="73cd431c-aff8-4f78-a1fb-9b0ecc7b2f02"/>
    <xsd:import namespace="3a31d02c-16c9-4a36-83b0-ec9facb35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31abf-33ea-4d80-a754-dfd47c3847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8052577-9b6d-4468-b7d5-7a510fa2f1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d431c-aff8-4f78-a1fb-9b0ecc7b2f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1d02c-16c9-4a36-83b0-ec9facb3584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c1e504b-2b6e-465d-84c7-4fd40a00d51b}" ma:internalName="TaxCatchAll" ma:showField="CatchAllData" ma:web="3a31d02c-16c9-4a36-83b0-ec9facb35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31d02c-16c9-4a36-83b0-ec9facb35843" xsi:nil="true"/>
    <lcf76f155ced4ddcb4097134ff3c332f xmlns="e6231abf-33ea-4d80-a754-dfd47c3847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25308-8CEF-47C6-BFA7-3AA593604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A20AC5-CF4E-4806-8420-8CF63945C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231abf-33ea-4d80-a754-dfd47c38478f"/>
    <ds:schemaRef ds:uri="73cd431c-aff8-4f78-a1fb-9b0ecc7b2f02"/>
    <ds:schemaRef ds:uri="3a31d02c-16c9-4a36-83b0-ec9facb35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55954C-765B-462E-80B4-930379D74583}">
  <ds:schemaRefs>
    <ds:schemaRef ds:uri="http://purl.org/dc/dcmitype/"/>
    <ds:schemaRef ds:uri="http://purl.org/dc/terms/"/>
    <ds:schemaRef ds:uri="3a31d02c-16c9-4a36-83b0-ec9facb35843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e6231abf-33ea-4d80-a754-dfd47c38478f"/>
    <ds:schemaRef ds:uri="http://schemas.microsoft.com/office/2006/documentManagement/types"/>
    <ds:schemaRef ds:uri="http://schemas.openxmlformats.org/package/2006/metadata/core-properties"/>
    <ds:schemaRef ds:uri="73cd431c-aff8-4f78-a1fb-9b0ecc7b2f02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Relatorio de Prestacao Contas</vt:lpstr>
      <vt:lpstr>'Relatorio de Prestacao Contas'!Area_de_impressao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Mery Simião</dc:creator>
  <cp:keywords/>
  <dc:description/>
  <cp:lastModifiedBy>Matheus Kotarski | ADM Service - Tecsul</cp:lastModifiedBy>
  <cp:revision/>
  <cp:lastPrinted>2024-07-11T12:13:50Z</cp:lastPrinted>
  <dcterms:created xsi:type="dcterms:W3CDTF">2022-09-30T17:57:36Z</dcterms:created>
  <dcterms:modified xsi:type="dcterms:W3CDTF">2024-11-07T13:58:30Z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0x01010015F448FCC54DC64DB540D6BAF5255348</vt:lpwstr>
  </property>
</Properties>
</file>